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smart one\Downloads\"/>
    </mc:Choice>
  </mc:AlternateContent>
  <xr:revisionPtr revIDLastSave="0" documentId="13_ncr:1_{4C6FAA79-BB76-4017-B1B2-82C851EF7949}" xr6:coauthVersionLast="37" xr6:coauthVersionMax="47" xr10:uidLastSave="{00000000-0000-0000-0000-000000000000}"/>
  <bookViews>
    <workbookView xWindow="0" yWindow="0" windowWidth="20490" windowHeight="7425" firstSheet="2" activeTab="2" xr2:uid="{8C48D0A6-8C65-4D65-89AB-460C734235C5}"/>
  </bookViews>
  <sheets>
    <sheet name="inventario" sheetId="1" r:id="rId1"/>
    <sheet name="clientes" sheetId="4" r:id="rId2"/>
    <sheet name="ventas" sheetId="3" r:id="rId3"/>
    <sheet name="compras" sheetId="2" r:id="rId4"/>
  </sheets>
  <calcPr calcId="1790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" i="3" l="1" a="1"/>
  <c r="J4" i="3" s="1"/>
  <c r="A21" i="3" l="1"/>
  <c r="A20" i="3"/>
  <c r="A19" i="3"/>
  <c r="A18" i="3"/>
  <c r="A17" i="3"/>
  <c r="A16" i="3"/>
  <c r="A15" i="3"/>
  <c r="A14" i="3"/>
  <c r="A13" i="3"/>
  <c r="A12" i="3"/>
  <c r="J3" i="3" l="1"/>
  <c r="J2" i="3"/>
  <c r="H3" i="2"/>
  <c r="D52" i="1"/>
  <c r="E3" i="2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G19" i="3"/>
  <c r="G20" i="3"/>
  <c r="G21" i="3"/>
  <c r="G18" i="3"/>
  <c r="G17" i="3"/>
  <c r="G16" i="3"/>
  <c r="G15" i="3"/>
  <c r="G14" i="3"/>
  <c r="G3" i="3"/>
  <c r="G4" i="3"/>
  <c r="G5" i="3"/>
  <c r="G6" i="3"/>
  <c r="G7" i="3"/>
  <c r="G8" i="3"/>
  <c r="G9" i="3"/>
  <c r="G10" i="3"/>
  <c r="G11" i="3"/>
  <c r="G12" i="3"/>
  <c r="G13" i="3"/>
  <c r="G2" i="3"/>
  <c r="E52" i="1"/>
  <c r="C5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<sst xmlns="http://schemas.openxmlformats.org/spreadsheetml/2006/main" count="127" uniqueCount="62">
  <si>
    <t>Pestañina</t>
  </si>
  <si>
    <t>Producto</t>
  </si>
  <si>
    <t xml:space="preserve">Cantidad </t>
  </si>
  <si>
    <t>Lapiz ojos (azul)</t>
  </si>
  <si>
    <t>Lapiz de ojos (negro)</t>
  </si>
  <si>
    <t>Lapiz de labios (rojo)</t>
  </si>
  <si>
    <t>Lapiz de labios (café)</t>
  </si>
  <si>
    <t>Labial (rojo)</t>
  </si>
  <si>
    <t>Labial (Rosado)</t>
  </si>
  <si>
    <t>Labial (Morado)</t>
  </si>
  <si>
    <t>Gloss (morado)</t>
  </si>
  <si>
    <t>Gloss (rojo)</t>
  </si>
  <si>
    <t>Gloss (azul)</t>
  </si>
  <si>
    <t>Precio al venderlo</t>
  </si>
  <si>
    <t>Lip combo (paquete 1)</t>
  </si>
  <si>
    <t>Eyes combo  (paquete 2)</t>
  </si>
  <si>
    <t>Combo completo (paquete 3)</t>
  </si>
  <si>
    <t>total</t>
  </si>
  <si>
    <t>clientes</t>
  </si>
  <si>
    <t>precio vendido</t>
  </si>
  <si>
    <t>precio real</t>
  </si>
  <si>
    <t>diferencia</t>
  </si>
  <si>
    <t>Labial (rosado)</t>
  </si>
  <si>
    <t>Labial (morado)</t>
  </si>
  <si>
    <t>producto</t>
  </si>
  <si>
    <t>Lapiz de ojos (azul) promoción</t>
  </si>
  <si>
    <t>precio</t>
  </si>
  <si>
    <t>nombre del producto</t>
  </si>
  <si>
    <t>id_compra</t>
  </si>
  <si>
    <t xml:space="preserve"> /</t>
  </si>
  <si>
    <t>tiramisu</t>
  </si>
  <si>
    <t>almuerzo</t>
  </si>
  <si>
    <t>cerezas</t>
  </si>
  <si>
    <t>arandanos</t>
  </si>
  <si>
    <t>pan</t>
  </si>
  <si>
    <t>fresas</t>
  </si>
  <si>
    <t>sandia</t>
  </si>
  <si>
    <t xml:space="preserve">galleta </t>
  </si>
  <si>
    <t>piña</t>
  </si>
  <si>
    <t>jugo</t>
  </si>
  <si>
    <t>pastel</t>
  </si>
  <si>
    <t>saldo para compras(dinero destinado a invertir en otras tiendas)</t>
  </si>
  <si>
    <t>precio al comprarlo x unidad</t>
  </si>
  <si>
    <t>id_inventario</t>
  </si>
  <si>
    <t>id_producto vendido</t>
  </si>
  <si>
    <t>mediana</t>
  </si>
  <si>
    <t>moda</t>
  </si>
  <si>
    <t>media</t>
  </si>
  <si>
    <t xml:space="preserve">nombre </t>
  </si>
  <si>
    <t>Valentina Gómez</t>
  </si>
  <si>
    <t>Santiago Ramírez</t>
  </si>
  <si>
    <t>Mariana Torres</t>
  </si>
  <si>
    <t>Nicolás Herrera</t>
  </si>
  <si>
    <t>Camila Vargas</t>
  </si>
  <si>
    <t>Sebastián Moreno</t>
  </si>
  <si>
    <t>Isabella Castro</t>
  </si>
  <si>
    <t>Daniel Rojas</t>
  </si>
  <si>
    <t>Gabriela Martínez</t>
  </si>
  <si>
    <t>Alejandro Pérez</t>
  </si>
  <si>
    <t>referencia de compra</t>
  </si>
  <si>
    <t>id cliente</t>
  </si>
  <si>
    <t>fecha de nacimiento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</si>
</sst>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73" formatCode="[$-F800]dddd\,\ mmmm\ dd\,\ yyyy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44" fontId="0" fillId="0" borderId="1" xfId="1" applyFont="1" applyBorder="1" applyAlignment="1">
      <alignment wrapText="1"/>
    </xf>
    <xf numFmtId="0" fontId="0" fillId="2" borderId="1" xfId="0" applyFill="1" applyBorder="1" applyAlignment="1">
      <alignment wrapText="1"/>
    </xf>
    <xf numFmtId="44" fontId="0" fillId="2" borderId="1" xfId="0" applyNumberFormat="1" applyFill="1" applyBorder="1" applyAlignment="1">
      <alignment wrapText="1"/>
    </xf>
    <xf numFmtId="44" fontId="0" fillId="0" borderId="0" xfId="1" applyFont="1"/>
    <xf numFmtId="44" fontId="3" fillId="0" borderId="1" xfId="1" applyFont="1" applyBorder="1" applyAlignment="1">
      <alignment wrapText="1"/>
    </xf>
    <xf numFmtId="44" fontId="3" fillId="0" borderId="0" xfId="1" applyFont="1"/>
    <xf numFmtId="0" fontId="1" fillId="0" borderId="1" xfId="0" applyFont="1" applyBorder="1" applyAlignment="1">
      <alignment horizontal="center" wrapText="1"/>
    </xf>
    <xf numFmtId="2" fontId="0" fillId="0" borderId="0" xfId="0" applyNumberFormat="1"/>
    <xf numFmtId="0" fontId="1" fillId="0" borderId="1" xfId="0" applyNumberFormat="1" applyFont="1" applyBorder="1" applyAlignment="1">
      <alignment wrapText="1"/>
    </xf>
    <xf numFmtId="44" fontId="0" fillId="0" borderId="1" xfId="1" applyFont="1" applyBorder="1"/>
    <xf numFmtId="0" fontId="1" fillId="3" borderId="1" xfId="0" applyFont="1" applyFill="1" applyBorder="1" applyAlignment="1">
      <alignment wrapText="1"/>
    </xf>
    <xf numFmtId="2" fontId="1" fillId="3" borderId="1" xfId="0" applyNumberFormat="1" applyFont="1" applyFill="1" applyBorder="1" applyAlignment="1">
      <alignment wrapText="1"/>
    </xf>
    <xf numFmtId="44" fontId="0" fillId="3" borderId="1" xfId="1" applyFont="1" applyFill="1" applyBorder="1" applyAlignment="1">
      <alignment wrapText="1"/>
    </xf>
    <xf numFmtId="44" fontId="0" fillId="3" borderId="1" xfId="1" applyFont="1" applyFill="1" applyBorder="1" applyAlignment="1"/>
    <xf numFmtId="44" fontId="4" fillId="3" borderId="1" xfId="1" applyFont="1" applyFill="1" applyBorder="1" applyAlignment="1">
      <alignment wrapText="1"/>
    </xf>
    <xf numFmtId="44" fontId="1" fillId="3" borderId="1" xfId="1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44" fontId="0" fillId="0" borderId="1" xfId="0" applyNumberFormat="1" applyFill="1" applyBorder="1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/>
    <xf numFmtId="44" fontId="0" fillId="0" borderId="1" xfId="0" applyNumberFormat="1" applyFill="1" applyBorder="1"/>
    <xf numFmtId="0" fontId="1" fillId="0" borderId="0" xfId="0" applyFont="1"/>
    <xf numFmtId="44" fontId="0" fillId="0" borderId="0" xfId="0" applyNumberFormat="1" applyAlignment="1">
      <alignment wrapText="1"/>
    </xf>
    <xf numFmtId="0" fontId="1" fillId="0" borderId="1" xfId="0" applyFont="1" applyBorder="1" applyAlignment="1">
      <alignment horizontal="center" wrapText="1"/>
    </xf>
    <xf numFmtId="1" fontId="0" fillId="0" borderId="0" xfId="0" applyNumberFormat="1"/>
    <xf numFmtId="1" fontId="1" fillId="0" borderId="1" xfId="0" applyNumberFormat="1" applyFont="1" applyBorder="1" applyAlignment="1">
      <alignment wrapText="1"/>
    </xf>
    <xf numFmtId="173" fontId="0" fillId="0" borderId="0" xfId="0" applyNumberFormat="1"/>
    <xf numFmtId="0" fontId="0" fillId="3" borderId="1" xfId="0" applyFill="1" applyBorder="1"/>
    <xf numFmtId="173" fontId="0" fillId="3" borderId="1" xfId="0" applyNumberFormat="1" applyFill="1" applyBorder="1"/>
    <xf numFmtId="0" fontId="0" fillId="0" borderId="1" xfId="0" applyBorder="1"/>
    <xf numFmtId="14" fontId="0" fillId="0" borderId="1" xfId="0" applyNumberForma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1BBEC-0AE3-40A2-A23D-81CEDA8AC786}">
  <dimension ref="A1:J53"/>
  <sheetViews>
    <sheetView zoomScale="93" workbookViewId="0">
      <selection activeCell="I6" sqref="I6"/>
    </sheetView>
  </sheetViews>
  <sheetFormatPr baseColWidth="10" defaultRowHeight="14.25"/>
  <cols>
    <col min="1" max="2" width="27.375" customWidth="1"/>
    <col min="4" max="4" width="18.5" customWidth="1"/>
    <col min="5" max="5" width="18.75" customWidth="1"/>
    <col min="6" max="6" width="15.875" style="24" customWidth="1"/>
    <col min="12" max="12" width="20.75" customWidth="1"/>
  </cols>
  <sheetData>
    <row r="1" spans="1:10" ht="30">
      <c r="A1" s="15" t="s">
        <v>1</v>
      </c>
      <c r="B1" s="15" t="s">
        <v>43</v>
      </c>
      <c r="C1" s="15" t="s">
        <v>2</v>
      </c>
      <c r="D1" s="15" t="s">
        <v>42</v>
      </c>
      <c r="E1" s="15" t="s">
        <v>13</v>
      </c>
      <c r="F1" s="21"/>
      <c r="G1" s="1"/>
      <c r="H1" s="1"/>
      <c r="I1" s="2"/>
      <c r="J1" s="2"/>
    </row>
    <row r="2" spans="1:10" ht="17.25" customHeight="1">
      <c r="A2" s="3" t="s">
        <v>3</v>
      </c>
      <c r="B2" s="3">
        <v>3238</v>
      </c>
      <c r="C2" s="4">
        <v>1</v>
      </c>
      <c r="D2" s="5">
        <v>3</v>
      </c>
      <c r="E2" s="5">
        <v>6</v>
      </c>
      <c r="F2" s="22"/>
      <c r="G2" s="1"/>
      <c r="H2" s="1"/>
    </row>
    <row r="3" spans="1:10" ht="17.25" customHeight="1">
      <c r="A3" s="3" t="s">
        <v>3</v>
      </c>
      <c r="B3" s="3">
        <v>3239</v>
      </c>
      <c r="C3" s="4">
        <v>1</v>
      </c>
      <c r="D3" s="5">
        <v>3</v>
      </c>
      <c r="E3" s="5">
        <v>6</v>
      </c>
      <c r="F3" s="22"/>
      <c r="G3" s="1"/>
      <c r="H3" s="1"/>
    </row>
    <row r="4" spans="1:10" ht="19.5" customHeight="1">
      <c r="A4" s="3" t="s">
        <v>4</v>
      </c>
      <c r="B4" s="3">
        <v>1235</v>
      </c>
      <c r="C4" s="4">
        <v>1</v>
      </c>
      <c r="D4" s="5">
        <v>2.5</v>
      </c>
      <c r="E4" s="5">
        <v>5.5</v>
      </c>
      <c r="F4" s="22"/>
      <c r="G4" s="1"/>
      <c r="H4" s="1"/>
    </row>
    <row r="5" spans="1:10" ht="19.5" customHeight="1">
      <c r="A5" s="3" t="s">
        <v>4</v>
      </c>
      <c r="B5" s="3">
        <v>1236</v>
      </c>
      <c r="C5" s="4">
        <v>1</v>
      </c>
      <c r="D5" s="5">
        <v>2.5</v>
      </c>
      <c r="E5" s="5">
        <v>5.5</v>
      </c>
      <c r="F5" s="22"/>
      <c r="G5" s="1"/>
      <c r="H5" s="1"/>
    </row>
    <row r="6" spans="1:10" ht="19.5" customHeight="1">
      <c r="A6" s="3" t="s">
        <v>4</v>
      </c>
      <c r="B6" s="3">
        <v>3906</v>
      </c>
      <c r="C6" s="4">
        <v>1</v>
      </c>
      <c r="D6" s="5">
        <v>2.5</v>
      </c>
      <c r="E6" s="5">
        <v>5.5</v>
      </c>
      <c r="F6" s="22"/>
      <c r="G6" s="1"/>
      <c r="H6" s="1"/>
    </row>
    <row r="7" spans="1:10" ht="19.5" customHeight="1">
      <c r="A7" s="3" t="s">
        <v>4</v>
      </c>
      <c r="B7" s="3">
        <v>3904</v>
      </c>
      <c r="C7" s="4">
        <v>1</v>
      </c>
      <c r="D7" s="5">
        <v>2.5</v>
      </c>
      <c r="E7" s="5">
        <v>5.5</v>
      </c>
      <c r="F7" s="22"/>
      <c r="G7" s="1"/>
      <c r="H7" s="1"/>
    </row>
    <row r="8" spans="1:10" ht="15">
      <c r="A8" s="3" t="s">
        <v>0</v>
      </c>
      <c r="B8" s="3">
        <v>4445</v>
      </c>
      <c r="C8" s="4">
        <v>1</v>
      </c>
      <c r="D8" s="5">
        <v>4</v>
      </c>
      <c r="E8" s="5">
        <v>6.5</v>
      </c>
      <c r="F8" s="22"/>
      <c r="G8" s="1"/>
      <c r="H8" s="1"/>
    </row>
    <row r="9" spans="1:10" ht="15">
      <c r="A9" s="3" t="s">
        <v>0</v>
      </c>
      <c r="B9" s="3">
        <v>5567</v>
      </c>
      <c r="C9" s="4">
        <v>1</v>
      </c>
      <c r="D9" s="5">
        <v>4</v>
      </c>
      <c r="E9" s="5">
        <v>6.5</v>
      </c>
      <c r="F9" s="22"/>
      <c r="G9" s="1"/>
      <c r="H9" s="1"/>
    </row>
    <row r="10" spans="1:10" ht="15">
      <c r="A10" s="3" t="s">
        <v>0</v>
      </c>
      <c r="B10" s="3">
        <v>7765</v>
      </c>
      <c r="C10" s="4">
        <v>1</v>
      </c>
      <c r="D10" s="5">
        <v>4</v>
      </c>
      <c r="E10" s="5">
        <v>6.5</v>
      </c>
      <c r="F10" s="22"/>
      <c r="G10" s="1"/>
      <c r="H10" s="1"/>
    </row>
    <row r="11" spans="1:10" ht="15">
      <c r="A11" s="3" t="s">
        <v>0</v>
      </c>
      <c r="B11" s="3">
        <v>5564</v>
      </c>
      <c r="C11" s="4">
        <v>1</v>
      </c>
      <c r="D11" s="5">
        <v>4</v>
      </c>
      <c r="E11" s="5">
        <v>6.5</v>
      </c>
      <c r="F11" s="22"/>
      <c r="G11" s="1"/>
      <c r="H11" s="1"/>
    </row>
    <row r="12" spans="1:10" ht="15">
      <c r="A12" s="3" t="s">
        <v>0</v>
      </c>
      <c r="B12" s="3">
        <v>5532</v>
      </c>
      <c r="C12" s="4">
        <v>1</v>
      </c>
      <c r="D12" s="5">
        <v>4</v>
      </c>
      <c r="E12" s="5">
        <v>6.5</v>
      </c>
      <c r="F12" s="22"/>
      <c r="G12" s="1"/>
      <c r="H12" s="1"/>
    </row>
    <row r="13" spans="1:10" ht="18" customHeight="1">
      <c r="A13" s="3" t="s">
        <v>5</v>
      </c>
      <c r="B13" s="3">
        <v>1238</v>
      </c>
      <c r="C13" s="4">
        <v>1</v>
      </c>
      <c r="D13" s="5">
        <v>3</v>
      </c>
      <c r="E13" s="5">
        <v>6</v>
      </c>
      <c r="F13" s="22"/>
      <c r="G13" s="1"/>
      <c r="H13" s="1"/>
    </row>
    <row r="14" spans="1:10" ht="18" customHeight="1">
      <c r="A14" s="3" t="s">
        <v>5</v>
      </c>
      <c r="B14" s="3">
        <v>1089</v>
      </c>
      <c r="C14" s="4">
        <v>1</v>
      </c>
      <c r="D14" s="5">
        <v>3</v>
      </c>
      <c r="E14" s="5">
        <v>6</v>
      </c>
      <c r="F14" s="22"/>
      <c r="G14" s="1"/>
      <c r="H14" s="1"/>
    </row>
    <row r="15" spans="1:10" ht="18" customHeight="1">
      <c r="A15" s="3" t="s">
        <v>5</v>
      </c>
      <c r="B15" s="3">
        <v>7653</v>
      </c>
      <c r="C15" s="4">
        <v>1</v>
      </c>
      <c r="D15" s="5">
        <v>3</v>
      </c>
      <c r="E15" s="5">
        <v>6</v>
      </c>
      <c r="F15" s="22"/>
      <c r="G15" s="1"/>
      <c r="H15" s="1"/>
    </row>
    <row r="16" spans="1:10" ht="18" customHeight="1">
      <c r="A16" s="3" t="s">
        <v>5</v>
      </c>
      <c r="B16" s="3">
        <v>4021</v>
      </c>
      <c r="C16" s="4">
        <v>1</v>
      </c>
      <c r="D16" s="5">
        <v>3</v>
      </c>
      <c r="E16" s="5">
        <v>6</v>
      </c>
      <c r="F16" s="22"/>
      <c r="G16" s="1"/>
      <c r="H16" s="1"/>
    </row>
    <row r="17" spans="1:8" ht="15.75" customHeight="1">
      <c r="A17" s="3" t="s">
        <v>6</v>
      </c>
      <c r="B17" s="3">
        <v>8889</v>
      </c>
      <c r="C17" s="4">
        <v>1</v>
      </c>
      <c r="D17" s="5">
        <v>2.5</v>
      </c>
      <c r="E17" s="5">
        <v>5</v>
      </c>
      <c r="F17" s="22"/>
      <c r="G17" s="1"/>
      <c r="H17" s="1"/>
    </row>
    <row r="18" spans="1:8" ht="15.75" customHeight="1">
      <c r="A18" s="3" t="s">
        <v>6</v>
      </c>
      <c r="B18" s="3">
        <v>7776</v>
      </c>
      <c r="C18" s="4">
        <v>1</v>
      </c>
      <c r="D18" s="5">
        <v>2.5</v>
      </c>
      <c r="E18" s="5">
        <v>5</v>
      </c>
      <c r="F18" s="22"/>
      <c r="G18" s="1"/>
      <c r="H18" s="1"/>
    </row>
    <row r="19" spans="1:8" ht="15.75" customHeight="1">
      <c r="A19" s="3" t="s">
        <v>6</v>
      </c>
      <c r="B19" s="3">
        <v>5678</v>
      </c>
      <c r="C19" s="4">
        <v>1</v>
      </c>
      <c r="D19" s="5">
        <v>2.5</v>
      </c>
      <c r="E19" s="5">
        <v>5</v>
      </c>
      <c r="F19" s="22"/>
      <c r="G19" s="1"/>
      <c r="H19" s="1"/>
    </row>
    <row r="20" spans="1:8" ht="15.75" customHeight="1">
      <c r="A20" s="3" t="s">
        <v>6</v>
      </c>
      <c r="B20" s="3">
        <v>6547</v>
      </c>
      <c r="C20" s="4">
        <v>1</v>
      </c>
      <c r="D20" s="5">
        <v>2.5</v>
      </c>
      <c r="E20" s="5">
        <v>5</v>
      </c>
      <c r="F20" s="22"/>
      <c r="G20" s="1"/>
      <c r="H20" s="1"/>
    </row>
    <row r="21" spans="1:8" ht="13.5" customHeight="1">
      <c r="A21" s="3" t="s">
        <v>7</v>
      </c>
      <c r="B21" s="3">
        <v>7654</v>
      </c>
      <c r="C21" s="4">
        <v>1</v>
      </c>
      <c r="D21" s="5">
        <v>4</v>
      </c>
      <c r="E21" s="5">
        <v>7</v>
      </c>
      <c r="F21" s="22"/>
      <c r="G21" s="1"/>
      <c r="H21" s="1"/>
    </row>
    <row r="22" spans="1:8" ht="13.5" customHeight="1">
      <c r="A22" s="3" t="s">
        <v>7</v>
      </c>
      <c r="B22" s="3">
        <v>5432</v>
      </c>
      <c r="C22" s="4">
        <v>1</v>
      </c>
      <c r="D22" s="5">
        <v>4</v>
      </c>
      <c r="E22" s="5">
        <v>7</v>
      </c>
      <c r="F22" s="22"/>
      <c r="G22" s="1"/>
      <c r="H22" s="1"/>
    </row>
    <row r="23" spans="1:8" ht="18" customHeight="1">
      <c r="A23" s="3" t="s">
        <v>8</v>
      </c>
      <c r="B23" s="3">
        <v>1239</v>
      </c>
      <c r="C23" s="4">
        <v>1</v>
      </c>
      <c r="D23" s="5">
        <v>4</v>
      </c>
      <c r="E23" s="5">
        <v>7</v>
      </c>
      <c r="F23" s="22"/>
      <c r="G23" s="1"/>
      <c r="H23" s="1"/>
    </row>
    <row r="24" spans="1:8" ht="18" customHeight="1">
      <c r="A24" s="3" t="s">
        <v>8</v>
      </c>
      <c r="B24" s="3">
        <v>4356</v>
      </c>
      <c r="C24" s="4">
        <v>1</v>
      </c>
      <c r="D24" s="5">
        <v>4</v>
      </c>
      <c r="E24" s="5">
        <v>7</v>
      </c>
      <c r="F24" s="22"/>
      <c r="G24" s="1"/>
      <c r="H24" s="1"/>
    </row>
    <row r="25" spans="1:8" ht="15" customHeight="1">
      <c r="A25" s="3" t="s">
        <v>9</v>
      </c>
      <c r="B25" s="3">
        <v>1230</v>
      </c>
      <c r="C25" s="4">
        <v>1</v>
      </c>
      <c r="D25" s="5">
        <v>4.5</v>
      </c>
      <c r="E25" s="5">
        <v>8</v>
      </c>
      <c r="F25" s="22"/>
      <c r="G25" s="1"/>
      <c r="H25" s="1"/>
    </row>
    <row r="26" spans="1:8" ht="15" customHeight="1">
      <c r="A26" s="3" t="s">
        <v>9</v>
      </c>
      <c r="B26" s="3">
        <v>2234</v>
      </c>
      <c r="C26" s="4">
        <v>1</v>
      </c>
      <c r="D26" s="5">
        <v>4.5</v>
      </c>
      <c r="E26" s="5">
        <v>8</v>
      </c>
      <c r="F26" s="22"/>
      <c r="G26" s="1"/>
      <c r="H26" s="1"/>
    </row>
    <row r="27" spans="1:8" ht="15" customHeight="1">
      <c r="A27" s="3" t="s">
        <v>9</v>
      </c>
      <c r="B27" s="3">
        <v>4210</v>
      </c>
      <c r="C27" s="4">
        <v>1</v>
      </c>
      <c r="D27" s="5">
        <v>4.5</v>
      </c>
      <c r="E27" s="5">
        <v>8</v>
      </c>
      <c r="F27" s="22"/>
      <c r="G27" s="1"/>
      <c r="H27" s="1"/>
    </row>
    <row r="28" spans="1:8" ht="14.25" customHeight="1">
      <c r="A28" s="3" t="s">
        <v>10</v>
      </c>
      <c r="B28" s="3">
        <v>5555</v>
      </c>
      <c r="C28" s="4">
        <v>1</v>
      </c>
      <c r="D28" s="5">
        <v>3.5</v>
      </c>
      <c r="E28" s="5">
        <v>6</v>
      </c>
      <c r="F28" s="22"/>
      <c r="G28" s="1"/>
      <c r="H28" s="1"/>
    </row>
    <row r="29" spans="1:8" ht="14.25" customHeight="1">
      <c r="A29" s="3" t="s">
        <v>10</v>
      </c>
      <c r="B29" s="3">
        <v>4000</v>
      </c>
      <c r="C29" s="4">
        <v>1</v>
      </c>
      <c r="D29" s="5">
        <v>3.5</v>
      </c>
      <c r="E29" s="5">
        <v>6</v>
      </c>
      <c r="F29" s="22"/>
      <c r="G29" s="1"/>
      <c r="H29" s="1"/>
    </row>
    <row r="30" spans="1:8" ht="14.25" customHeight="1">
      <c r="A30" s="3" t="s">
        <v>10</v>
      </c>
      <c r="B30" s="3">
        <v>2006</v>
      </c>
      <c r="C30" s="4">
        <v>1</v>
      </c>
      <c r="D30" s="5">
        <v>3.5</v>
      </c>
      <c r="E30" s="5">
        <v>6</v>
      </c>
      <c r="F30" s="22"/>
      <c r="G30" s="1"/>
      <c r="H30" s="1"/>
    </row>
    <row r="31" spans="1:8" ht="15.75" customHeight="1">
      <c r="A31" s="3" t="s">
        <v>11</v>
      </c>
      <c r="B31" s="3">
        <v>6011</v>
      </c>
      <c r="C31" s="4">
        <v>1</v>
      </c>
      <c r="D31" s="5">
        <v>3</v>
      </c>
      <c r="E31" s="5">
        <v>6</v>
      </c>
      <c r="F31" s="22"/>
      <c r="G31" s="1"/>
      <c r="H31" s="1"/>
    </row>
    <row r="32" spans="1:8" ht="15.75" customHeight="1">
      <c r="A32" s="3" t="s">
        <v>11</v>
      </c>
      <c r="B32" s="3">
        <v>5801</v>
      </c>
      <c r="C32" s="4">
        <v>1</v>
      </c>
      <c r="D32" s="5">
        <v>3</v>
      </c>
      <c r="E32" s="5">
        <v>6</v>
      </c>
      <c r="F32" s="22"/>
      <c r="G32" s="1"/>
      <c r="H32" s="1"/>
    </row>
    <row r="33" spans="1:8" ht="15.75" customHeight="1">
      <c r="A33" s="3" t="s">
        <v>11</v>
      </c>
      <c r="B33" s="3">
        <v>2237</v>
      </c>
      <c r="C33" s="4">
        <v>1</v>
      </c>
      <c r="D33" s="5">
        <v>3</v>
      </c>
      <c r="E33" s="5">
        <v>6</v>
      </c>
      <c r="F33" s="22"/>
      <c r="G33" s="1"/>
      <c r="H33" s="1"/>
    </row>
    <row r="34" spans="1:8" ht="15" customHeight="1">
      <c r="A34" s="3" t="s">
        <v>12</v>
      </c>
      <c r="B34" s="3">
        <v>2235</v>
      </c>
      <c r="C34" s="4">
        <v>1</v>
      </c>
      <c r="D34" s="5">
        <v>3.5</v>
      </c>
      <c r="E34" s="5">
        <v>6</v>
      </c>
      <c r="F34" s="22"/>
      <c r="G34" s="1"/>
      <c r="H34" s="1"/>
    </row>
    <row r="35" spans="1:8" ht="15" customHeight="1">
      <c r="A35" s="3" t="s">
        <v>12</v>
      </c>
      <c r="B35" s="3">
        <v>3216</v>
      </c>
      <c r="C35" s="4">
        <v>1</v>
      </c>
      <c r="D35" s="5">
        <v>3.5</v>
      </c>
      <c r="E35" s="5">
        <v>6</v>
      </c>
      <c r="F35" s="22"/>
      <c r="G35" s="1"/>
      <c r="H35" s="1"/>
    </row>
    <row r="36" spans="1:8" ht="15" customHeight="1">
      <c r="A36" s="3" t="s">
        <v>12</v>
      </c>
      <c r="B36" s="3">
        <v>4369</v>
      </c>
      <c r="C36" s="4">
        <v>1</v>
      </c>
      <c r="D36" s="5">
        <v>3.5</v>
      </c>
      <c r="E36" s="5">
        <v>6</v>
      </c>
      <c r="F36" s="22"/>
      <c r="G36" s="1"/>
      <c r="H36" s="1"/>
    </row>
    <row r="37" spans="1:8" ht="15">
      <c r="A37" s="3" t="s">
        <v>14</v>
      </c>
      <c r="B37" s="3">
        <v>2239</v>
      </c>
      <c r="C37" s="4">
        <v>1</v>
      </c>
      <c r="D37" s="5">
        <v>8.5</v>
      </c>
      <c r="E37" s="5">
        <v>18.899999999999999</v>
      </c>
      <c r="F37" s="22"/>
      <c r="G37" s="1"/>
      <c r="H37" s="1"/>
    </row>
    <row r="38" spans="1:8" ht="15">
      <c r="A38" s="3" t="s">
        <v>14</v>
      </c>
      <c r="B38" s="3">
        <v>2230</v>
      </c>
      <c r="C38" s="4">
        <v>1</v>
      </c>
      <c r="D38" s="5">
        <v>8.5</v>
      </c>
      <c r="E38" s="5">
        <v>18.899999999999999</v>
      </c>
      <c r="F38" s="22"/>
      <c r="G38" s="1"/>
      <c r="H38" s="1"/>
    </row>
    <row r="39" spans="1:8" ht="15">
      <c r="A39" s="3" t="s">
        <v>14</v>
      </c>
      <c r="B39" s="3">
        <v>8880</v>
      </c>
      <c r="C39" s="4">
        <v>1</v>
      </c>
      <c r="D39" s="5">
        <v>8.5</v>
      </c>
      <c r="E39" s="5">
        <v>18.899999999999999</v>
      </c>
      <c r="F39" s="22"/>
      <c r="G39" s="1"/>
      <c r="H39" s="1"/>
    </row>
    <row r="40" spans="1:8" ht="15">
      <c r="A40" s="3" t="s">
        <v>14</v>
      </c>
      <c r="B40" s="3">
        <v>5780</v>
      </c>
      <c r="C40" s="4">
        <v>1</v>
      </c>
      <c r="D40" s="5">
        <v>8.5</v>
      </c>
      <c r="E40" s="5">
        <v>18.899999999999999</v>
      </c>
      <c r="F40" s="22"/>
      <c r="G40" s="1"/>
      <c r="H40" s="1"/>
    </row>
    <row r="41" spans="1:8" ht="15">
      <c r="A41" s="3" t="s">
        <v>14</v>
      </c>
      <c r="B41" s="3">
        <v>5465</v>
      </c>
      <c r="C41" s="4">
        <v>1</v>
      </c>
      <c r="D41" s="5">
        <v>8.5</v>
      </c>
      <c r="E41" s="5">
        <v>18.899999999999999</v>
      </c>
      <c r="F41" s="22"/>
      <c r="G41" s="1"/>
      <c r="H41" s="1"/>
    </row>
    <row r="42" spans="1:8" ht="15" customHeight="1">
      <c r="A42" s="3" t="s">
        <v>15</v>
      </c>
      <c r="B42" s="3">
        <v>3234</v>
      </c>
      <c r="C42" s="4">
        <v>1</v>
      </c>
      <c r="D42" s="5">
        <v>6</v>
      </c>
      <c r="E42" s="5">
        <v>10</v>
      </c>
      <c r="F42" s="22"/>
      <c r="G42" s="1"/>
      <c r="H42" s="1"/>
    </row>
    <row r="43" spans="1:8" ht="15" customHeight="1">
      <c r="A43" s="3" t="s">
        <v>15</v>
      </c>
      <c r="B43" s="3">
        <v>3235</v>
      </c>
      <c r="C43" s="4">
        <v>1</v>
      </c>
      <c r="D43" s="5">
        <v>6</v>
      </c>
      <c r="E43" s="5">
        <v>10</v>
      </c>
      <c r="F43" s="22"/>
      <c r="G43" s="1"/>
      <c r="H43" s="1"/>
    </row>
    <row r="44" spans="1:8" ht="15" customHeight="1">
      <c r="A44" s="3" t="s">
        <v>15</v>
      </c>
      <c r="B44" s="3">
        <v>2236</v>
      </c>
      <c r="C44" s="4">
        <v>1</v>
      </c>
      <c r="D44" s="5">
        <v>6</v>
      </c>
      <c r="E44" s="5">
        <v>10</v>
      </c>
      <c r="F44" s="22"/>
      <c r="G44" s="1"/>
      <c r="H44" s="1"/>
    </row>
    <row r="45" spans="1:8" ht="15" customHeight="1">
      <c r="A45" s="3" t="s">
        <v>15</v>
      </c>
      <c r="B45" s="3">
        <v>5554</v>
      </c>
      <c r="C45" s="4">
        <v>1</v>
      </c>
      <c r="D45" s="5">
        <v>6</v>
      </c>
      <c r="E45" s="5">
        <v>10</v>
      </c>
      <c r="F45" s="22"/>
      <c r="G45" s="1"/>
      <c r="H45" s="1"/>
    </row>
    <row r="46" spans="1:8" ht="15" customHeight="1">
      <c r="A46" s="3" t="s">
        <v>15</v>
      </c>
      <c r="B46" s="3">
        <v>2229</v>
      </c>
      <c r="C46" s="4">
        <v>1</v>
      </c>
      <c r="D46" s="5">
        <v>6</v>
      </c>
      <c r="E46" s="5">
        <v>10</v>
      </c>
      <c r="F46" s="22"/>
      <c r="G46" s="1"/>
      <c r="H46" s="1"/>
    </row>
    <row r="47" spans="1:8" ht="12.75" customHeight="1">
      <c r="A47" s="3" t="s">
        <v>16</v>
      </c>
      <c r="B47" s="3">
        <v>1237</v>
      </c>
      <c r="C47" s="4">
        <v>1</v>
      </c>
      <c r="D47" s="5">
        <v>13</v>
      </c>
      <c r="E47" s="5">
        <v>26.9</v>
      </c>
      <c r="F47" s="22"/>
      <c r="G47" s="1"/>
      <c r="H47" s="1"/>
    </row>
    <row r="48" spans="1:8" ht="12.75" customHeight="1">
      <c r="A48" s="3" t="s">
        <v>16</v>
      </c>
      <c r="B48" s="3">
        <v>4325</v>
      </c>
      <c r="C48" s="4">
        <v>1</v>
      </c>
      <c r="D48" s="5">
        <v>13</v>
      </c>
      <c r="E48" s="5">
        <v>26.9</v>
      </c>
      <c r="F48" s="22"/>
      <c r="G48" s="1"/>
      <c r="H48" s="1"/>
    </row>
    <row r="49" spans="1:8" ht="12.75" customHeight="1">
      <c r="A49" s="3" t="s">
        <v>16</v>
      </c>
      <c r="B49" s="3">
        <v>5801</v>
      </c>
      <c r="C49" s="4">
        <v>1</v>
      </c>
      <c r="D49" s="5">
        <v>13</v>
      </c>
      <c r="E49" s="5">
        <v>26.9</v>
      </c>
      <c r="F49" s="22"/>
      <c r="G49" s="1"/>
      <c r="H49" s="1"/>
    </row>
    <row r="50" spans="1:8" ht="12.75" customHeight="1">
      <c r="A50" s="3" t="s">
        <v>16</v>
      </c>
      <c r="B50" s="3">
        <v>3236</v>
      </c>
      <c r="C50" s="4">
        <v>1</v>
      </c>
      <c r="D50" s="5">
        <v>13</v>
      </c>
      <c r="E50" s="5">
        <v>26.9</v>
      </c>
      <c r="F50" s="22"/>
      <c r="G50" s="1"/>
      <c r="H50" s="1"/>
    </row>
    <row r="51" spans="1:8" ht="12.75" customHeight="1">
      <c r="A51" s="3" t="s">
        <v>16</v>
      </c>
      <c r="B51" s="3">
        <v>3237</v>
      </c>
      <c r="C51" s="4">
        <v>1</v>
      </c>
      <c r="D51" s="5">
        <v>13</v>
      </c>
      <c r="E51" s="5">
        <v>26.9</v>
      </c>
      <c r="F51" s="22"/>
      <c r="G51" s="1"/>
      <c r="H51" s="1"/>
    </row>
    <row r="52" spans="1:8">
      <c r="A52" s="6" t="s">
        <v>17</v>
      </c>
      <c r="B52" s="6"/>
      <c r="C52" s="6">
        <f>SUM(C2:C51)</f>
        <v>50</v>
      </c>
      <c r="D52" s="7">
        <f>SUM(D2:D51)</f>
        <v>255</v>
      </c>
      <c r="E52" s="7">
        <f>SUM(E2:E51)</f>
        <v>495.49999999999983</v>
      </c>
      <c r="F52" s="22"/>
      <c r="G52" s="1"/>
      <c r="H52" s="1"/>
    </row>
    <row r="53" spans="1:8">
      <c r="A53" s="1"/>
      <c r="B53" s="1"/>
      <c r="C53" s="1"/>
      <c r="D53" s="1"/>
      <c r="E53" s="1"/>
      <c r="F53" s="23"/>
      <c r="G53" s="1"/>
      <c r="H5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AA5C1-EC62-4E14-A369-4C33F1C5B9C0}">
  <dimension ref="A1:C11"/>
  <sheetViews>
    <sheetView workbookViewId="0">
      <selection activeCell="E5" sqref="E5"/>
    </sheetView>
  </sheetViews>
  <sheetFormatPr baseColWidth="10" defaultRowHeight="14.25"/>
  <cols>
    <col min="1" max="1" width="15.75" customWidth="1"/>
    <col min="2" max="2" width="16.25" customWidth="1"/>
    <col min="3" max="3" width="19.25" style="31" customWidth="1"/>
  </cols>
  <sheetData>
    <row r="1" spans="1:3">
      <c r="A1" s="32" t="s">
        <v>48</v>
      </c>
      <c r="B1" s="32" t="s">
        <v>60</v>
      </c>
      <c r="C1" s="33" t="s">
        <v>61</v>
      </c>
    </row>
    <row r="2" spans="1:3">
      <c r="A2" s="34" t="s">
        <v>49</v>
      </c>
      <c r="B2" s="34">
        <v>1004827315</v>
      </c>
      <c r="C2" s="35">
        <v>35868</v>
      </c>
    </row>
    <row r="3" spans="1:3">
      <c r="A3" s="34" t="s">
        <v>50</v>
      </c>
      <c r="B3" s="34">
        <v>1037592846</v>
      </c>
      <c r="C3" s="35">
        <v>37130</v>
      </c>
    </row>
    <row r="4" spans="1:3">
      <c r="A4" s="34" t="s">
        <v>51</v>
      </c>
      <c r="B4" s="34">
        <v>1016284937</v>
      </c>
      <c r="C4" s="35">
        <v>35008</v>
      </c>
    </row>
    <row r="5" spans="1:3">
      <c r="A5" s="34" t="s">
        <v>52</v>
      </c>
      <c r="B5" s="34">
        <v>1073946258</v>
      </c>
      <c r="C5" s="35">
        <v>37791</v>
      </c>
    </row>
    <row r="6" spans="1:3">
      <c r="A6" s="34" t="s">
        <v>53</v>
      </c>
      <c r="B6" s="34">
        <v>1028467153</v>
      </c>
      <c r="C6" s="35">
        <v>36191</v>
      </c>
    </row>
    <row r="7" spans="1:3">
      <c r="A7" s="34" t="s">
        <v>54</v>
      </c>
      <c r="B7" s="34">
        <v>1057319482</v>
      </c>
      <c r="C7" s="35">
        <v>36791</v>
      </c>
    </row>
    <row r="8" spans="1:3">
      <c r="A8" s="34" t="s">
        <v>55</v>
      </c>
      <c r="B8" s="34">
        <v>1092846371</v>
      </c>
      <c r="C8" s="35">
        <v>35772</v>
      </c>
    </row>
    <row r="9" spans="1:3">
      <c r="A9" s="34" t="s">
        <v>56</v>
      </c>
      <c r="B9" s="34">
        <v>1046938275</v>
      </c>
      <c r="C9" s="35">
        <v>37362</v>
      </c>
    </row>
    <row r="10" spans="1:3">
      <c r="A10" s="34" t="s">
        <v>57</v>
      </c>
      <c r="B10" s="34">
        <v>1065183749</v>
      </c>
      <c r="C10" s="35">
        <v>35249</v>
      </c>
    </row>
    <row r="11" spans="1:3">
      <c r="A11" s="34" t="s">
        <v>58</v>
      </c>
      <c r="B11" s="34">
        <v>1083726154</v>
      </c>
      <c r="C11" s="35">
        <v>38285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706E8-68BB-474D-B993-52B1603BE9EF}">
  <dimension ref="A1:L22"/>
  <sheetViews>
    <sheetView tabSelected="1" zoomScale="80" zoomScaleNormal="80" workbookViewId="0">
      <selection activeCell="J4" sqref="J4"/>
    </sheetView>
  </sheetViews>
  <sheetFormatPr baseColWidth="10" defaultRowHeight="14.25"/>
  <cols>
    <col min="1" max="1" width="14.625" bestFit="1" customWidth="1"/>
    <col min="3" max="3" width="15.25" customWidth="1"/>
    <col min="4" max="4" width="29.5" customWidth="1"/>
    <col min="5" max="5" width="29.5" style="10" customWidth="1"/>
    <col min="6" max="6" width="11" style="8"/>
    <col min="8" max="8" width="25.875" style="24" customWidth="1"/>
    <col min="10" max="10" width="32.375" customWidth="1"/>
  </cols>
  <sheetData>
    <row r="1" spans="1:12" ht="30.75" customHeight="1">
      <c r="A1" s="15" t="s">
        <v>18</v>
      </c>
      <c r="B1" s="15" t="s">
        <v>44</v>
      </c>
      <c r="C1" s="15" t="s">
        <v>59</v>
      </c>
      <c r="D1" s="15" t="s">
        <v>24</v>
      </c>
      <c r="E1" s="19" t="s">
        <v>19</v>
      </c>
      <c r="F1" s="20" t="s">
        <v>20</v>
      </c>
      <c r="G1" s="15" t="s">
        <v>21</v>
      </c>
      <c r="H1" s="21"/>
      <c r="I1" s="1"/>
      <c r="J1" s="1"/>
      <c r="K1" s="2"/>
      <c r="L1" s="2"/>
    </row>
    <row r="2" spans="1:12" ht="17.25" customHeight="1">
      <c r="A2" s="29">
        <v>1004827315</v>
      </c>
      <c r="B2" s="3">
        <v>1234</v>
      </c>
      <c r="C2" s="3">
        <v>111123</v>
      </c>
      <c r="D2" s="3" t="s">
        <v>15</v>
      </c>
      <c r="E2" s="9">
        <v>10</v>
      </c>
      <c r="F2" s="5">
        <v>10</v>
      </c>
      <c r="G2" s="5">
        <f>F2-E2</f>
        <v>0</v>
      </c>
      <c r="H2" s="22"/>
      <c r="I2" s="1" t="s">
        <v>47</v>
      </c>
      <c r="J2" s="27">
        <f>AVERAGE(E2:E21)</f>
        <v>9.8350000000000009</v>
      </c>
    </row>
    <row r="3" spans="1:12" ht="17.25" customHeight="1">
      <c r="A3" s="29">
        <v>1037592846</v>
      </c>
      <c r="B3" s="3">
        <v>1235</v>
      </c>
      <c r="C3" s="3">
        <v>111124</v>
      </c>
      <c r="D3" s="3" t="s">
        <v>4</v>
      </c>
      <c r="E3" s="9">
        <v>5.5</v>
      </c>
      <c r="F3" s="5">
        <v>5.5</v>
      </c>
      <c r="G3" s="5">
        <f t="shared" ref="G3:G21" si="0">F3-E3</f>
        <v>0</v>
      </c>
      <c r="H3" s="22"/>
      <c r="I3" s="1" t="s">
        <v>45</v>
      </c>
      <c r="J3" s="27">
        <f>MEDIAN(E2:E21)</f>
        <v>5.75</v>
      </c>
    </row>
    <row r="4" spans="1:12" ht="18" customHeight="1">
      <c r="A4" s="29">
        <v>1016284937</v>
      </c>
      <c r="B4" s="3">
        <v>1236</v>
      </c>
      <c r="C4" s="3">
        <v>111125</v>
      </c>
      <c r="D4" s="3" t="s">
        <v>4</v>
      </c>
      <c r="E4" s="9">
        <v>5.5</v>
      </c>
      <c r="F4" s="5">
        <v>5.5</v>
      </c>
      <c r="G4" s="5">
        <f t="shared" si="0"/>
        <v>0</v>
      </c>
      <c r="H4" s="22"/>
      <c r="I4" s="1" t="s">
        <v>46</v>
      </c>
      <c r="J4" s="1" t="str" cm="1">
        <f t="array" ref="J4">INDEX(D2:D21,_xlfn.MODE.SNGL(MATCH(D2:D21,D2:D21,0)))</f>
        <v>Eyes combo  (paquete 2)</v>
      </c>
    </row>
    <row r="5" spans="1:12" ht="15">
      <c r="A5" s="29">
        <v>1073946258</v>
      </c>
      <c r="B5" s="3">
        <v>1237</v>
      </c>
      <c r="C5" s="3">
        <v>111126</v>
      </c>
      <c r="D5" s="3" t="s">
        <v>16</v>
      </c>
      <c r="E5" s="9">
        <v>24.9</v>
      </c>
      <c r="F5" s="5">
        <v>26.9</v>
      </c>
      <c r="G5" s="5">
        <f t="shared" si="0"/>
        <v>2</v>
      </c>
      <c r="H5" s="22"/>
      <c r="I5" s="1"/>
      <c r="J5" s="1"/>
    </row>
    <row r="6" spans="1:12" ht="15">
      <c r="A6" s="29">
        <v>1028467153</v>
      </c>
      <c r="B6" s="3">
        <v>1238</v>
      </c>
      <c r="C6" s="3">
        <v>111127</v>
      </c>
      <c r="D6" s="3" t="s">
        <v>7</v>
      </c>
      <c r="E6" s="9">
        <v>5</v>
      </c>
      <c r="F6" s="5">
        <v>7</v>
      </c>
      <c r="G6" s="5">
        <f t="shared" si="0"/>
        <v>2</v>
      </c>
      <c r="H6" s="22"/>
      <c r="I6" s="1"/>
      <c r="J6" s="1"/>
    </row>
    <row r="7" spans="1:12" ht="15">
      <c r="A7" s="29">
        <v>1057319482</v>
      </c>
      <c r="B7" s="3">
        <v>1239</v>
      </c>
      <c r="C7" s="3">
        <v>111128</v>
      </c>
      <c r="D7" s="3" t="s">
        <v>22</v>
      </c>
      <c r="E7" s="9">
        <v>5</v>
      </c>
      <c r="F7" s="5">
        <v>7</v>
      </c>
      <c r="G7" s="5">
        <f t="shared" si="0"/>
        <v>2</v>
      </c>
      <c r="H7" s="22"/>
      <c r="I7" s="1"/>
      <c r="J7" s="1"/>
    </row>
    <row r="8" spans="1:12" ht="15">
      <c r="A8" s="29">
        <v>1092846371</v>
      </c>
      <c r="B8" s="3">
        <v>1230</v>
      </c>
      <c r="C8" s="3">
        <v>111129</v>
      </c>
      <c r="D8" s="3" t="s">
        <v>23</v>
      </c>
      <c r="E8" s="9">
        <v>5</v>
      </c>
      <c r="F8" s="5">
        <v>8</v>
      </c>
      <c r="G8" s="5">
        <f t="shared" si="0"/>
        <v>3</v>
      </c>
      <c r="H8" s="22"/>
      <c r="I8" s="1"/>
      <c r="J8" s="1"/>
    </row>
    <row r="9" spans="1:12" ht="15">
      <c r="A9" s="29">
        <v>1046938275</v>
      </c>
      <c r="B9" s="3">
        <v>2234</v>
      </c>
      <c r="C9" s="3">
        <v>111120</v>
      </c>
      <c r="D9" s="3" t="s">
        <v>23</v>
      </c>
      <c r="E9" s="9">
        <v>5.3</v>
      </c>
      <c r="F9" s="5">
        <v>8</v>
      </c>
      <c r="G9" s="5">
        <f t="shared" si="0"/>
        <v>2.7</v>
      </c>
      <c r="H9" s="22"/>
      <c r="I9" s="1"/>
      <c r="J9" s="1"/>
    </row>
    <row r="10" spans="1:12" ht="15">
      <c r="A10" s="29">
        <v>1065183749</v>
      </c>
      <c r="B10" s="3">
        <v>2235</v>
      </c>
      <c r="C10" s="3">
        <v>111223</v>
      </c>
      <c r="D10" s="3" t="s">
        <v>12</v>
      </c>
      <c r="E10" s="9">
        <v>6</v>
      </c>
      <c r="F10" s="5">
        <v>6</v>
      </c>
      <c r="G10" s="5">
        <f t="shared" si="0"/>
        <v>0</v>
      </c>
      <c r="H10" s="22"/>
      <c r="I10" s="1"/>
      <c r="J10" s="1"/>
    </row>
    <row r="11" spans="1:12" ht="15">
      <c r="A11" s="29">
        <v>1083726154</v>
      </c>
      <c r="B11" s="3">
        <v>2236</v>
      </c>
      <c r="C11" s="3">
        <v>111224</v>
      </c>
      <c r="D11" s="3" t="s">
        <v>15</v>
      </c>
      <c r="E11" s="9">
        <v>10</v>
      </c>
      <c r="F11" s="5">
        <v>10</v>
      </c>
      <c r="G11" s="5">
        <f t="shared" si="0"/>
        <v>0</v>
      </c>
      <c r="H11" s="22"/>
      <c r="I11" s="1"/>
      <c r="J11" s="1"/>
    </row>
    <row r="12" spans="1:12" ht="15">
      <c r="A12" s="30">
        <f>A2</f>
        <v>1004827315</v>
      </c>
      <c r="B12" s="3">
        <v>2237</v>
      </c>
      <c r="C12" s="3">
        <v>111225</v>
      </c>
      <c r="D12" s="3" t="s">
        <v>11</v>
      </c>
      <c r="E12" s="9">
        <v>3</v>
      </c>
      <c r="F12" s="5">
        <v>6</v>
      </c>
      <c r="G12" s="5">
        <f t="shared" si="0"/>
        <v>3</v>
      </c>
      <c r="H12" s="22"/>
      <c r="I12" s="1"/>
      <c r="J12" s="1"/>
    </row>
    <row r="13" spans="1:12" ht="15">
      <c r="A13" s="30">
        <f>A11</f>
        <v>1083726154</v>
      </c>
      <c r="B13" s="3">
        <v>2238</v>
      </c>
      <c r="C13" s="3">
        <v>111226</v>
      </c>
      <c r="D13" s="3" t="s">
        <v>8</v>
      </c>
      <c r="E13" s="9">
        <v>3</v>
      </c>
      <c r="F13" s="5">
        <v>7</v>
      </c>
      <c r="G13" s="5">
        <f t="shared" si="0"/>
        <v>4</v>
      </c>
      <c r="H13" s="22"/>
      <c r="I13" s="1"/>
      <c r="J13" s="1"/>
    </row>
    <row r="14" spans="1:12" ht="15">
      <c r="A14" s="30">
        <f>A9</f>
        <v>1046938275</v>
      </c>
      <c r="B14" s="3">
        <v>2239</v>
      </c>
      <c r="C14" s="3">
        <v>111227</v>
      </c>
      <c r="D14" s="3" t="s">
        <v>14</v>
      </c>
      <c r="E14" s="9">
        <v>16</v>
      </c>
      <c r="F14" s="5">
        <v>18.899999999999999</v>
      </c>
      <c r="G14" s="5">
        <f t="shared" si="0"/>
        <v>2.8999999999999986</v>
      </c>
      <c r="H14" s="22"/>
      <c r="I14" s="1"/>
      <c r="J14" s="1"/>
    </row>
    <row r="15" spans="1:12" ht="15">
      <c r="A15" s="30">
        <f>A10</f>
        <v>1065183749</v>
      </c>
      <c r="B15" s="3">
        <v>2230</v>
      </c>
      <c r="C15" s="3">
        <v>111228</v>
      </c>
      <c r="D15" s="3" t="s">
        <v>14</v>
      </c>
      <c r="E15" s="9">
        <v>15.8</v>
      </c>
      <c r="F15" s="5">
        <v>18.899999999999999</v>
      </c>
      <c r="G15" s="5">
        <f t="shared" si="0"/>
        <v>3.0999999999999979</v>
      </c>
      <c r="H15" s="22"/>
      <c r="I15" s="1"/>
      <c r="J15" s="1"/>
    </row>
    <row r="16" spans="1:12" ht="15">
      <c r="A16" s="30">
        <f>A8</f>
        <v>1092846371</v>
      </c>
      <c r="B16" s="3">
        <v>3234</v>
      </c>
      <c r="C16" s="3">
        <v>111229</v>
      </c>
      <c r="D16" s="3" t="s">
        <v>15</v>
      </c>
      <c r="E16" s="9">
        <v>10</v>
      </c>
      <c r="F16" s="5">
        <v>10</v>
      </c>
      <c r="G16" s="5">
        <f t="shared" si="0"/>
        <v>0</v>
      </c>
      <c r="H16" s="22"/>
      <c r="I16" s="1"/>
      <c r="J16" s="1"/>
    </row>
    <row r="17" spans="1:10" ht="15">
      <c r="A17" s="30">
        <f>A5</f>
        <v>1073946258</v>
      </c>
      <c r="B17" s="3">
        <v>3235</v>
      </c>
      <c r="C17" s="3">
        <v>111220</v>
      </c>
      <c r="D17" s="3" t="s">
        <v>15</v>
      </c>
      <c r="E17" s="9">
        <v>8.9</v>
      </c>
      <c r="F17" s="5">
        <v>10</v>
      </c>
      <c r="G17" s="5">
        <f t="shared" si="0"/>
        <v>1.0999999999999996</v>
      </c>
      <c r="H17" s="22"/>
      <c r="I17" s="1"/>
      <c r="J17" s="1"/>
    </row>
    <row r="18" spans="1:10" ht="15">
      <c r="A18" s="30">
        <f>A5</f>
        <v>1073946258</v>
      </c>
      <c r="B18" s="3">
        <v>3236</v>
      </c>
      <c r="C18" s="3">
        <v>112323</v>
      </c>
      <c r="D18" s="3" t="s">
        <v>16</v>
      </c>
      <c r="E18" s="9">
        <v>25.9</v>
      </c>
      <c r="F18" s="5">
        <v>26.9</v>
      </c>
      <c r="G18" s="5">
        <f t="shared" si="0"/>
        <v>1</v>
      </c>
      <c r="H18" s="22"/>
      <c r="I18" s="1"/>
      <c r="J18" s="1"/>
    </row>
    <row r="19" spans="1:10" ht="15">
      <c r="A19" s="30">
        <f>A6</f>
        <v>1028467153</v>
      </c>
      <c r="B19" s="3">
        <v>3237</v>
      </c>
      <c r="C19" s="3">
        <v>112324</v>
      </c>
      <c r="D19" s="3" t="s">
        <v>16</v>
      </c>
      <c r="E19" s="9">
        <v>26.9</v>
      </c>
      <c r="F19" s="5">
        <v>26.9</v>
      </c>
      <c r="G19" s="5">
        <f>F19-E19</f>
        <v>0</v>
      </c>
      <c r="H19" s="22"/>
      <c r="I19" s="1"/>
      <c r="J19" s="1"/>
    </row>
    <row r="20" spans="1:10" ht="15">
      <c r="A20" s="30">
        <f>A3</f>
        <v>1037592846</v>
      </c>
      <c r="B20" s="3">
        <v>3238</v>
      </c>
      <c r="C20" s="3">
        <v>112325</v>
      </c>
      <c r="D20" s="3" t="s">
        <v>25</v>
      </c>
      <c r="E20" s="9">
        <v>2.5</v>
      </c>
      <c r="F20" s="5">
        <v>6</v>
      </c>
      <c r="G20" s="5">
        <f t="shared" si="0"/>
        <v>3.5</v>
      </c>
      <c r="H20" s="25"/>
    </row>
    <row r="21" spans="1:10" ht="15">
      <c r="A21" s="30">
        <f>A2</f>
        <v>1004827315</v>
      </c>
      <c r="B21" s="3">
        <v>3239</v>
      </c>
      <c r="C21" s="3">
        <v>112326</v>
      </c>
      <c r="D21" s="3" t="s">
        <v>25</v>
      </c>
      <c r="E21" s="9">
        <v>2.5</v>
      </c>
      <c r="F21" s="5">
        <v>6</v>
      </c>
      <c r="G21" s="5">
        <f t="shared" si="0"/>
        <v>3.5</v>
      </c>
      <c r="H21" s="25"/>
    </row>
    <row r="22" spans="1:10" ht="15">
      <c r="A22" s="28"/>
      <c r="B22" s="28"/>
      <c r="C22" s="28"/>
      <c r="D22" s="28"/>
      <c r="E22" s="28"/>
      <c r="F22" s="28"/>
      <c r="G22" s="28"/>
      <c r="H22" s="25"/>
    </row>
  </sheetData>
  <mergeCells count="1">
    <mergeCell ref="A22:G2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A5B9B-03C3-4487-8B31-0051068A065B}">
  <dimension ref="A1:I22"/>
  <sheetViews>
    <sheetView zoomScale="80" zoomScaleNormal="80" workbookViewId="0">
      <selection activeCell="H4" sqref="H4"/>
    </sheetView>
  </sheetViews>
  <sheetFormatPr baseColWidth="10" defaultRowHeight="15"/>
  <cols>
    <col min="2" max="2" width="10.875" style="12"/>
    <col min="3" max="3" width="24" style="26" customWidth="1"/>
    <col min="4" max="4" width="10.875" style="8"/>
    <col min="5" max="5" width="58.875" style="8" customWidth="1"/>
  </cols>
  <sheetData>
    <row r="1" spans="1:9" ht="17.45" customHeight="1">
      <c r="A1" s="15" t="s">
        <v>24</v>
      </c>
      <c r="B1" s="16" t="s">
        <v>28</v>
      </c>
      <c r="C1" s="15" t="s">
        <v>27</v>
      </c>
      <c r="D1" s="17" t="s">
        <v>26</v>
      </c>
      <c r="E1" s="18" t="s">
        <v>41</v>
      </c>
      <c r="F1" s="1"/>
      <c r="G1" s="1"/>
      <c r="H1" s="1"/>
      <c r="I1" s="1"/>
    </row>
    <row r="2" spans="1:9">
      <c r="A2" s="3">
        <v>0</v>
      </c>
      <c r="B2" s="13">
        <v>0</v>
      </c>
      <c r="C2" s="11" t="s">
        <v>29</v>
      </c>
      <c r="D2" s="5">
        <v>0</v>
      </c>
      <c r="E2" s="5">
        <v>150</v>
      </c>
      <c r="F2" s="1"/>
      <c r="G2" s="1"/>
      <c r="H2" s="1"/>
      <c r="I2" s="1"/>
    </row>
    <row r="3" spans="1:9">
      <c r="A3" s="3">
        <v>1</v>
      </c>
      <c r="B3" s="13">
        <v>1123</v>
      </c>
      <c r="C3" s="3" t="s">
        <v>30</v>
      </c>
      <c r="D3" s="5">
        <v>8</v>
      </c>
      <c r="E3" s="5">
        <f t="shared" ref="E3:E22" si="0">E2-D3</f>
        <v>142</v>
      </c>
      <c r="F3" s="1"/>
      <c r="G3" s="1" t="s">
        <v>45</v>
      </c>
      <c r="H3" s="27">
        <f>MEDIAN(D2:D22)</f>
        <v>5</v>
      </c>
      <c r="I3" s="1"/>
    </row>
    <row r="4" spans="1:9">
      <c r="A4" s="3">
        <v>2</v>
      </c>
      <c r="B4" s="13">
        <v>1124</v>
      </c>
      <c r="C4" s="3" t="s">
        <v>30</v>
      </c>
      <c r="D4" s="5">
        <v>8</v>
      </c>
      <c r="E4" s="5">
        <f t="shared" si="0"/>
        <v>134</v>
      </c>
      <c r="F4" s="1"/>
      <c r="G4" s="1" t="s">
        <v>46</v>
      </c>
      <c r="H4" s="1"/>
      <c r="I4" s="1"/>
    </row>
    <row r="5" spans="1:9">
      <c r="A5" s="3">
        <v>3</v>
      </c>
      <c r="B5" s="13">
        <v>1125</v>
      </c>
      <c r="C5" s="3" t="s">
        <v>31</v>
      </c>
      <c r="D5" s="5">
        <v>15</v>
      </c>
      <c r="E5" s="5">
        <f t="shared" si="0"/>
        <v>119</v>
      </c>
      <c r="F5" s="1"/>
      <c r="G5" s="1"/>
      <c r="H5" s="1"/>
      <c r="I5" s="1"/>
    </row>
    <row r="6" spans="1:9">
      <c r="A6" s="4">
        <v>4</v>
      </c>
      <c r="B6" s="13">
        <v>1126</v>
      </c>
      <c r="C6" s="3" t="s">
        <v>32</v>
      </c>
      <c r="D6" s="5">
        <v>3.5</v>
      </c>
      <c r="E6" s="5">
        <f t="shared" si="0"/>
        <v>115.5</v>
      </c>
      <c r="F6" s="1"/>
      <c r="G6" s="1"/>
      <c r="H6" s="1"/>
      <c r="I6" s="1"/>
    </row>
    <row r="7" spans="1:9">
      <c r="A7" s="4">
        <v>5</v>
      </c>
      <c r="B7" s="13">
        <v>1127</v>
      </c>
      <c r="C7" s="3" t="s">
        <v>33</v>
      </c>
      <c r="D7" s="5">
        <v>5</v>
      </c>
      <c r="E7" s="5">
        <f t="shared" si="0"/>
        <v>110.5</v>
      </c>
      <c r="F7" s="1"/>
      <c r="G7" s="1"/>
      <c r="H7" s="1"/>
      <c r="I7" s="1"/>
    </row>
    <row r="8" spans="1:9">
      <c r="A8" s="3">
        <v>6</v>
      </c>
      <c r="B8" s="13">
        <v>1128</v>
      </c>
      <c r="C8" s="3" t="s">
        <v>35</v>
      </c>
      <c r="D8" s="14">
        <v>2.5</v>
      </c>
      <c r="E8" s="5">
        <f t="shared" si="0"/>
        <v>108</v>
      </c>
    </row>
    <row r="9" spans="1:9">
      <c r="A9" s="3">
        <v>7</v>
      </c>
      <c r="B9" s="13">
        <v>1129</v>
      </c>
      <c r="C9" s="3" t="s">
        <v>36</v>
      </c>
      <c r="D9" s="14">
        <v>4</v>
      </c>
      <c r="E9" s="5">
        <f t="shared" si="0"/>
        <v>104</v>
      </c>
    </row>
    <row r="10" spans="1:9">
      <c r="A10" s="3">
        <v>8</v>
      </c>
      <c r="B10" s="13">
        <v>1120</v>
      </c>
      <c r="C10" s="3" t="s">
        <v>34</v>
      </c>
      <c r="D10" s="14">
        <v>3</v>
      </c>
      <c r="E10" s="5">
        <f t="shared" si="0"/>
        <v>101</v>
      </c>
    </row>
    <row r="11" spans="1:9">
      <c r="A11" s="3">
        <v>9</v>
      </c>
      <c r="B11" s="13">
        <v>1223</v>
      </c>
      <c r="C11" s="3" t="s">
        <v>34</v>
      </c>
      <c r="D11" s="14">
        <v>3</v>
      </c>
      <c r="E11" s="5">
        <f t="shared" si="0"/>
        <v>98</v>
      </c>
    </row>
    <row r="12" spans="1:9">
      <c r="A12" s="3">
        <v>10</v>
      </c>
      <c r="B12" s="13">
        <v>1224</v>
      </c>
      <c r="C12" s="3" t="s">
        <v>39</v>
      </c>
      <c r="D12" s="14">
        <v>5</v>
      </c>
      <c r="E12" s="5">
        <f t="shared" si="0"/>
        <v>93</v>
      </c>
    </row>
    <row r="13" spans="1:9">
      <c r="A13" s="3">
        <v>11</v>
      </c>
      <c r="B13" s="13">
        <v>1225</v>
      </c>
      <c r="C13" s="3" t="s">
        <v>31</v>
      </c>
      <c r="D13" s="14">
        <v>18</v>
      </c>
      <c r="E13" s="5">
        <f t="shared" si="0"/>
        <v>75</v>
      </c>
    </row>
    <row r="14" spans="1:9">
      <c r="A14" s="3">
        <v>12</v>
      </c>
      <c r="B14" s="13">
        <v>1226</v>
      </c>
      <c r="C14" s="3" t="s">
        <v>37</v>
      </c>
      <c r="D14" s="14">
        <v>4</v>
      </c>
      <c r="E14" s="14">
        <f t="shared" si="0"/>
        <v>71</v>
      </c>
    </row>
    <row r="15" spans="1:9">
      <c r="A15" s="3">
        <v>13</v>
      </c>
      <c r="B15" s="13">
        <v>1227</v>
      </c>
      <c r="C15" s="3" t="s">
        <v>37</v>
      </c>
      <c r="D15" s="14">
        <v>4</v>
      </c>
      <c r="E15" s="14">
        <f t="shared" si="0"/>
        <v>67</v>
      </c>
    </row>
    <row r="16" spans="1:9">
      <c r="A16" s="4">
        <v>14</v>
      </c>
      <c r="B16" s="13">
        <v>1228</v>
      </c>
      <c r="C16" s="3" t="s">
        <v>31</v>
      </c>
      <c r="D16" s="14">
        <v>15</v>
      </c>
      <c r="E16" s="14">
        <f t="shared" si="0"/>
        <v>52</v>
      </c>
    </row>
    <row r="17" spans="1:5">
      <c r="A17" s="4">
        <v>15</v>
      </c>
      <c r="B17" s="13">
        <v>1229</v>
      </c>
      <c r="C17" s="3" t="s">
        <v>30</v>
      </c>
      <c r="D17" s="14">
        <v>8</v>
      </c>
      <c r="E17" s="14">
        <f t="shared" si="0"/>
        <v>44</v>
      </c>
    </row>
    <row r="18" spans="1:5">
      <c r="A18" s="3">
        <v>16</v>
      </c>
      <c r="B18" s="13">
        <v>1220</v>
      </c>
      <c r="C18" s="3" t="s">
        <v>38</v>
      </c>
      <c r="D18" s="14">
        <v>5.5</v>
      </c>
      <c r="E18" s="14">
        <f t="shared" si="0"/>
        <v>38.5</v>
      </c>
    </row>
    <row r="19" spans="1:5">
      <c r="A19" s="3">
        <v>17</v>
      </c>
      <c r="B19" s="13">
        <v>1334</v>
      </c>
      <c r="C19" s="3" t="s">
        <v>36</v>
      </c>
      <c r="D19" s="14">
        <v>5</v>
      </c>
      <c r="E19" s="14">
        <f t="shared" si="0"/>
        <v>33.5</v>
      </c>
    </row>
    <row r="20" spans="1:5">
      <c r="A20" s="3">
        <v>18</v>
      </c>
      <c r="B20" s="13">
        <v>1335</v>
      </c>
      <c r="C20" s="3" t="s">
        <v>39</v>
      </c>
      <c r="D20" s="14">
        <v>5.5</v>
      </c>
      <c r="E20" s="14">
        <f t="shared" si="0"/>
        <v>28</v>
      </c>
    </row>
    <row r="21" spans="1:5">
      <c r="A21" s="3">
        <v>19</v>
      </c>
      <c r="B21" s="13">
        <v>1336</v>
      </c>
      <c r="C21" s="3" t="s">
        <v>40</v>
      </c>
      <c r="D21" s="14">
        <v>13.4</v>
      </c>
      <c r="E21" s="14">
        <f t="shared" si="0"/>
        <v>14.6</v>
      </c>
    </row>
    <row r="22" spans="1:5">
      <c r="A22" s="3">
        <v>20</v>
      </c>
      <c r="B22" s="13">
        <v>1337</v>
      </c>
      <c r="C22" s="3" t="s">
        <v>32</v>
      </c>
      <c r="D22" s="14">
        <v>3</v>
      </c>
      <c r="E22" s="14">
        <f t="shared" si="0"/>
        <v>11.6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inventario</vt:lpstr>
      <vt:lpstr>clientes</vt:lpstr>
      <vt:lpstr>ventas</vt:lpstr>
      <vt:lpstr>compras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Ferro Gomez</dc:creator>
  <cp:lastModifiedBy>smart one</cp:lastModifiedBy>
  <dcterms:created xsi:type="dcterms:W3CDTF">2026-08-03T19:23:13Z</dcterms:created>
  <dcterms:modified xsi:type="dcterms:W3CDTF">2026-08-10T03:49:19Z</dcterms:modified>
</cp:coreProperties>
</file>