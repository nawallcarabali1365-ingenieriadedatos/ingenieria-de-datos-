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prestamour\Downloads\"/>
    </mc:Choice>
  </mc:AlternateContent>
  <xr:revisionPtr revIDLastSave="0" documentId="13_ncr:1_{036733C5-50F7-455A-8C03-677F99BE0647}" xr6:coauthVersionLast="47" xr6:coauthVersionMax="47" xr10:uidLastSave="{00000000-0000-0000-0000-000000000000}"/>
  <bookViews>
    <workbookView xWindow="-110" yWindow="-110" windowWidth="19420" windowHeight="10300" activeTab="3" xr2:uid="{F5B4E005-A13B-4706-A626-88169E8F3673}"/>
  </bookViews>
  <sheets>
    <sheet name="DATOS" sheetId="2" r:id="rId1"/>
    <sheet name="LIMPIEZA" sheetId="1" r:id="rId2"/>
    <sheet name="UNIVARIADO" sheetId="3" r:id="rId3"/>
    <sheet name="BIVARIADO" sheetId="4" r:id="rId4"/>
    <sheet name="CORRELACIÓN" sheetId="5" r:id="rId5"/>
    <sheet name="CONCLUSIONES" sheetId="6" r:id="rId6"/>
  </sheets>
  <definedNames>
    <definedName name="_xlchart.v1.0" hidden="1">LIMPIEZA!$D$2:$D$21</definedName>
    <definedName name="_xlchart.v1.1" hidden="1">LIMPIEZA!$H$1</definedName>
    <definedName name="_xlchart.v1.2" hidden="1">LIMPIEZA!$H$2:$H$21</definedName>
    <definedName name="_xlchart.v1.3" hidden="1">LIMPIEZA!$D$2:$D$21</definedName>
    <definedName name="_xlchart.v1.4" hidden="1">LIMPIEZA!$E$1</definedName>
    <definedName name="_xlchart.v1.5" hidden="1">LIMPIEZA!$E$2:$E$21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6" i="4" l="1"/>
  <c r="C35" i="4"/>
  <c r="C34" i="4"/>
  <c r="C33" i="4"/>
  <c r="C32" i="4"/>
  <c r="C31" i="4"/>
  <c r="C30" i="4"/>
  <c r="C29" i="4"/>
  <c r="B17" i="4"/>
  <c r="B29" i="4" s="1"/>
  <c r="C28" i="4"/>
  <c r="C27" i="4"/>
  <c r="B36" i="4"/>
  <c r="B35" i="4"/>
  <c r="B34" i="4"/>
  <c r="B33" i="4"/>
  <c r="B32" i="4"/>
  <c r="B31" i="4"/>
  <c r="B30" i="4"/>
  <c r="B28" i="4"/>
  <c r="B27" i="4"/>
  <c r="B18" i="4"/>
  <c r="B24" i="4"/>
  <c r="B23" i="4"/>
  <c r="B22" i="4"/>
  <c r="B21" i="4"/>
  <c r="B20" i="4"/>
  <c r="B19" i="4"/>
  <c r="B16" i="4"/>
  <c r="B15" i="4"/>
  <c r="B12" i="4" l="1"/>
  <c r="B11" i="4"/>
  <c r="B10" i="4"/>
  <c r="B9" i="4"/>
  <c r="B7" i="4"/>
  <c r="B8" i="4"/>
  <c r="B6" i="4"/>
  <c r="B5" i="4"/>
  <c r="B4" i="4"/>
  <c r="C25" i="1"/>
  <c r="B25" i="1"/>
  <c r="B3" i="4" l="1"/>
  <c r="B10" i="3"/>
  <c r="E9" i="3"/>
  <c r="E8" i="3"/>
  <c r="E7" i="3"/>
  <c r="E6" i="3"/>
  <c r="E5" i="3"/>
  <c r="E4" i="3"/>
  <c r="E3" i="3"/>
  <c r="B3" i="3"/>
  <c r="B8" i="3"/>
  <c r="B9" i="3"/>
  <c r="B7" i="3"/>
  <c r="B6" i="3"/>
  <c r="B5" i="3"/>
  <c r="B4" i="3"/>
  <c r="G27" i="1"/>
  <c r="F27" i="1"/>
  <c r="E27" i="1"/>
  <c r="D27" i="1"/>
  <c r="C27" i="1"/>
  <c r="B27" i="1"/>
  <c r="F16" i="2"/>
  <c r="F15" i="2"/>
  <c r="F14" i="2"/>
  <c r="F13" i="2"/>
  <c r="F12" i="2"/>
  <c r="F11" i="2"/>
  <c r="F10" i="2"/>
  <c r="F9" i="2"/>
  <c r="F8" i="2"/>
  <c r="F7" i="2"/>
  <c r="F6" i="2"/>
  <c r="F5" i="2"/>
  <c r="F4" i="2"/>
  <c r="F3" i="2"/>
  <c r="F2" i="2"/>
  <c r="G21" i="1" l="1"/>
  <c r="H21" i="1" s="1"/>
  <c r="A21" i="1"/>
  <c r="G20" i="1"/>
  <c r="H20" i="1" s="1"/>
  <c r="A20" i="1"/>
  <c r="G19" i="1"/>
  <c r="H19" i="1" s="1"/>
  <c r="A19" i="1"/>
  <c r="G18" i="1"/>
  <c r="H18" i="1" s="1"/>
  <c r="A18" i="1"/>
  <c r="G17" i="1"/>
  <c r="H17" i="1" s="1"/>
  <c r="A17" i="1"/>
  <c r="G16" i="1"/>
  <c r="H16" i="1" s="1"/>
  <c r="A16" i="1"/>
  <c r="G15" i="1"/>
  <c r="H15" i="1" s="1"/>
  <c r="A15" i="1"/>
  <c r="G14" i="1"/>
  <c r="H14" i="1" s="1"/>
  <c r="A14" i="1"/>
  <c r="G13" i="1"/>
  <c r="H13" i="1" s="1"/>
  <c r="A13" i="1"/>
  <c r="G12" i="1"/>
  <c r="H12" i="1" s="1"/>
  <c r="A12" i="1"/>
  <c r="G11" i="1"/>
  <c r="H11" i="1" s="1"/>
  <c r="G10" i="1"/>
  <c r="H10" i="1" s="1"/>
  <c r="G9" i="1"/>
  <c r="H9" i="1" s="1"/>
  <c r="G8" i="1"/>
  <c r="H8" i="1" s="1"/>
  <c r="G7" i="1"/>
  <c r="H7" i="1" s="1"/>
  <c r="G6" i="1"/>
  <c r="H6" i="1" s="1"/>
  <c r="G5" i="1"/>
  <c r="H5" i="1" s="1"/>
  <c r="G4" i="1"/>
  <c r="H4" i="1" s="1"/>
  <c r="G3" i="1"/>
  <c r="H3" i="1" s="1"/>
  <c r="G2" i="1"/>
  <c r="H5" i="3" l="1"/>
  <c r="H4" i="3"/>
  <c r="H27" i="1"/>
  <c r="H3" i="3"/>
  <c r="H2" i="1"/>
  <c r="H6" i="3"/>
  <c r="H9" i="3"/>
  <c r="H8" i="3"/>
  <c r="H7" i="3"/>
  <c r="K9" i="3" l="1"/>
  <c r="K8" i="3"/>
  <c r="K7" i="3"/>
  <c r="K6" i="3"/>
  <c r="K5" i="3"/>
  <c r="K4" i="3"/>
  <c r="K3" i="3"/>
</calcChain>
</file>

<file path=xl/sharedStrings.xml><?xml version="1.0" encoding="utf-8"?>
<sst xmlns="http://schemas.openxmlformats.org/spreadsheetml/2006/main" count="158" uniqueCount="87">
  <si>
    <t>clientes</t>
  </si>
  <si>
    <t>id_producto vendido</t>
  </si>
  <si>
    <t>referencia de compra</t>
  </si>
  <si>
    <t>producto</t>
  </si>
  <si>
    <t>precio vendido</t>
  </si>
  <si>
    <t>precio real</t>
  </si>
  <si>
    <t>diferencia</t>
  </si>
  <si>
    <t>Lapiz de ojos (negro)</t>
  </si>
  <si>
    <t>moda</t>
  </si>
  <si>
    <t>Labial (rojo)</t>
  </si>
  <si>
    <t>Gloss (azul)</t>
  </si>
  <si>
    <t>Gloss (rojo)</t>
  </si>
  <si>
    <t>Labial (Rosado)</t>
  </si>
  <si>
    <t>Producto</t>
  </si>
  <si>
    <t xml:space="preserve">Cantidad </t>
  </si>
  <si>
    <t>precio compra x u</t>
  </si>
  <si>
    <t>Precio base</t>
  </si>
  <si>
    <t xml:space="preserve"> precio comprado</t>
  </si>
  <si>
    <t xml:space="preserve">total cantidad preciobase </t>
  </si>
  <si>
    <t>producto vendidos</t>
  </si>
  <si>
    <t xml:space="preserve">precio vendido </t>
  </si>
  <si>
    <t>Lapiz ojos (azul)</t>
  </si>
  <si>
    <t>Ice combo</t>
  </si>
  <si>
    <t xml:space="preserve">lapiz ojos negros </t>
  </si>
  <si>
    <t>Pestañina</t>
  </si>
  <si>
    <t>combo completo</t>
  </si>
  <si>
    <t>Lapiz de labios (rojo)</t>
  </si>
  <si>
    <t>labiales</t>
  </si>
  <si>
    <t>Lapiz de labios (café)</t>
  </si>
  <si>
    <t xml:space="preserve">labial </t>
  </si>
  <si>
    <t>gloss</t>
  </si>
  <si>
    <t>Labial (Morado)</t>
  </si>
  <si>
    <t xml:space="preserve">combo pequeño </t>
  </si>
  <si>
    <t>Gloss (morado)</t>
  </si>
  <si>
    <t>Paquetes</t>
  </si>
  <si>
    <t>Lip combo</t>
  </si>
  <si>
    <t>Eyes combo</t>
  </si>
  <si>
    <t>Combo completo</t>
  </si>
  <si>
    <t>Eyes combo(paquete 2)</t>
  </si>
  <si>
    <t>Lapiz de ojos(negro)</t>
  </si>
  <si>
    <t>Combo completo(paquete 3)</t>
  </si>
  <si>
    <t>Labial(rojo)</t>
  </si>
  <si>
    <t>Labial(rosado)</t>
  </si>
  <si>
    <t>Labial(morado)</t>
  </si>
  <si>
    <t>Gloss(azul)</t>
  </si>
  <si>
    <t>Gloss(rojo)</t>
  </si>
  <si>
    <t>Labial(Rosado)</t>
  </si>
  <si>
    <t>Lip combo(paquete 1)</t>
  </si>
  <si>
    <t xml:space="preserve">Lapiz de ojos(azul) </t>
  </si>
  <si>
    <t>DUPLICADOS</t>
  </si>
  <si>
    <t>VACIO</t>
  </si>
  <si>
    <t>Estadístico</t>
  </si>
  <si>
    <t>Resultado</t>
  </si>
  <si>
    <t>Conteo</t>
  </si>
  <si>
    <t>Promedio</t>
  </si>
  <si>
    <t>Mediana</t>
  </si>
  <si>
    <t>Mínimo</t>
  </si>
  <si>
    <t>Máximo</t>
  </si>
  <si>
    <t>Desviación estándar</t>
  </si>
  <si>
    <t>Varianza</t>
  </si>
  <si>
    <t>PRECIO VENDIDO</t>
  </si>
  <si>
    <t>PRECIO REAL</t>
  </si>
  <si>
    <t>porcentaje de descuento</t>
  </si>
  <si>
    <t>DIFERENCIA</t>
  </si>
  <si>
    <t>Precio promedio vendido</t>
  </si>
  <si>
    <t>DESCUENTO</t>
  </si>
  <si>
    <t>Cliente</t>
  </si>
  <si>
    <t>Total gastado por cliente</t>
  </si>
  <si>
    <t>i_d 1004827315</t>
  </si>
  <si>
    <t>i_d 1037592846</t>
  </si>
  <si>
    <t>i_d 1016284937</t>
  </si>
  <si>
    <t>i_d 1073946258</t>
  </si>
  <si>
    <t>i_d 1028467153</t>
  </si>
  <si>
    <t>i_d 1057319482</t>
  </si>
  <si>
    <t>i_d 1092846371</t>
  </si>
  <si>
    <t>i_d 1046938275</t>
  </si>
  <si>
    <t>i_d 1065183749</t>
  </si>
  <si>
    <t>i_d 1083726154</t>
  </si>
  <si>
    <t>total sin descuentos</t>
  </si>
  <si>
    <t xml:space="preserve"> Precio vendido</t>
  </si>
  <si>
    <t xml:space="preserve">Precio real  </t>
  </si>
  <si>
    <t>Hallazgo 1</t>
  </si>
  <si>
    <t>A partir del análisis exploratorio realizado sobre los datos de ventas, se pudo identificar que existe una relación positiva y muy fuerte entre el precio real de los productos y el precio al que finalmente fueron vendidos. El coeficiente de correlación obtenido fue de aproximadamente 0,983, lo que indica que los productos con mayor precio real tienden a conservar también un mayor precio de venta.</t>
  </si>
  <si>
    <t>Hallazgo 2</t>
  </si>
  <si>
    <t>Hipótesis a validar</t>
  </si>
  <si>
    <t>e encontró que el precio promedio de venta fue de 9,835, mientras que el precio real promedio fue de 11,525. La diferencia promedio de 1,69 evidencia que las ventas se realizaron, en general, aplicando descuentos. El descuento promedio fue aproximadamente del 20,3 %, aunque este comportamiento no fue uniforme, ya que algunos productos no tuvieron descuento y otros alcanzaron descuentos superiores al 50 %.</t>
  </si>
  <si>
    <t>Existe una relación positiva y significativa entre el precio real de un producto y su precio de venta; es decir, los productos con mayor precio real tienden a presentar mayores precios de venta.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</si>
</sst>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 #,##0.00_-;\-&quot;$&quot;\ * #,##0.00_-;_-&quot;$&quot;\ * &quot;-&quot;??_-;_-@_-"/>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1"/>
      <name val="Arial"/>
      <family val="2"/>
    </font>
  </fonts>
  <fills count="6">
    <fill>
      <patternFill patternType="none"/>
    </fill>
    <fill>
      <patternFill patternType="gray125"/>
    </fill>
    <fill>
      <patternFill patternType="solid">
        <fgColor theme="3" tint="0.749992370372631"/>
        <bgColor indexed="64"/>
      </patternFill>
    </fill>
    <fill>
      <patternFill patternType="solid">
        <fgColor theme="0"/>
        <bgColor indexed="64"/>
      </patternFill>
    </fill>
    <fill>
      <patternFill patternType="solid">
        <fgColor theme="4" tint="0.59999389629810485"/>
        <bgColor indexed="64"/>
      </patternFill>
    </fill>
    <fill>
      <patternFill patternType="solid">
        <fgColor rgb="FFFFFF00"/>
        <bgColor rgb="FFFFFF0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52">
    <xf numFmtId="0" fontId="0" fillId="0" borderId="0" xfId="0"/>
    <xf numFmtId="0" fontId="2" fillId="2" borderId="1" xfId="0" applyFont="1" applyFill="1" applyBorder="1" applyAlignment="1">
      <alignment wrapText="1"/>
    </xf>
    <xf numFmtId="44" fontId="2" fillId="2" borderId="1" xfId="1" applyFont="1" applyFill="1" applyBorder="1" applyAlignment="1">
      <alignment wrapText="1"/>
    </xf>
    <xf numFmtId="0" fontId="0" fillId="0" borderId="0" xfId="0" applyAlignment="1">
      <alignment wrapText="1"/>
    </xf>
    <xf numFmtId="1" fontId="0" fillId="0" borderId="0" xfId="0" applyNumberFormat="1"/>
    <xf numFmtId="0" fontId="2" fillId="0" borderId="1" xfId="0" applyFont="1" applyBorder="1" applyAlignment="1">
      <alignment wrapText="1"/>
    </xf>
    <xf numFmtId="44" fontId="1" fillId="0" borderId="1" xfId="1" applyFont="1" applyBorder="1" applyAlignment="1">
      <alignment wrapText="1"/>
    </xf>
    <xf numFmtId="44" fontId="0" fillId="0" borderId="1" xfId="1" applyFont="1" applyBorder="1" applyAlignment="1">
      <alignment wrapText="1"/>
    </xf>
    <xf numFmtId="44" fontId="0" fillId="0" borderId="0" xfId="0" applyNumberFormat="1" applyAlignment="1">
      <alignment wrapText="1"/>
    </xf>
    <xf numFmtId="1" fontId="2" fillId="0" borderId="1" xfId="0" applyNumberFormat="1" applyFont="1" applyBorder="1" applyAlignment="1">
      <alignment wrapText="1"/>
    </xf>
    <xf numFmtId="0" fontId="2" fillId="0" borderId="0" xfId="0" applyFont="1" applyAlignment="1">
      <alignment wrapText="1"/>
    </xf>
    <xf numFmtId="1" fontId="2" fillId="2" borderId="1" xfId="0" applyNumberFormat="1" applyFont="1" applyFill="1" applyBorder="1" applyAlignment="1">
      <alignment wrapText="1"/>
    </xf>
    <xf numFmtId="0" fontId="2" fillId="2" borderId="2" xfId="0" applyFont="1" applyFill="1" applyBorder="1" applyAlignment="1">
      <alignment wrapText="1"/>
    </xf>
    <xf numFmtId="44" fontId="0" fillId="0" borderId="2" xfId="1" applyFont="1" applyBorder="1" applyAlignment="1">
      <alignment wrapText="1"/>
    </xf>
    <xf numFmtId="0" fontId="0" fillId="0" borderId="0" xfId="0" applyBorder="1"/>
    <xf numFmtId="0" fontId="2" fillId="0" borderId="0" xfId="0" applyFont="1" applyBorder="1" applyAlignment="1">
      <alignment horizontal="center" wrapText="1"/>
    </xf>
    <xf numFmtId="1" fontId="2" fillId="0" borderId="0" xfId="0" applyNumberFormat="1" applyFont="1"/>
    <xf numFmtId="1" fontId="2" fillId="0" borderId="0" xfId="0" applyNumberFormat="1" applyFont="1" applyBorder="1" applyAlignment="1">
      <alignment wrapText="1"/>
    </xf>
    <xf numFmtId="0" fontId="2" fillId="0" borderId="0" xfId="0" applyFont="1" applyBorder="1" applyAlignment="1">
      <alignment wrapText="1"/>
    </xf>
    <xf numFmtId="44" fontId="1" fillId="0" borderId="0" xfId="1" applyFont="1" applyBorder="1" applyAlignment="1">
      <alignment wrapText="1"/>
    </xf>
    <xf numFmtId="44" fontId="0" fillId="0" borderId="0" xfId="1" applyFont="1" applyBorder="1" applyAlignment="1">
      <alignment wrapText="1"/>
    </xf>
    <xf numFmtId="10" fontId="0" fillId="0" borderId="0" xfId="0" applyNumberFormat="1" applyFill="1" applyBorder="1"/>
    <xf numFmtId="10" fontId="0" fillId="0" borderId="0" xfId="0" applyNumberFormat="1" applyBorder="1"/>
    <xf numFmtId="10" fontId="0" fillId="0" borderId="0" xfId="0" applyNumberFormat="1"/>
    <xf numFmtId="10" fontId="2" fillId="2" borderId="2" xfId="0" applyNumberFormat="1" applyFont="1" applyFill="1" applyBorder="1" applyAlignment="1">
      <alignment wrapText="1"/>
    </xf>
    <xf numFmtId="0" fontId="0" fillId="0" borderId="0" xfId="0" applyNumberFormat="1"/>
    <xf numFmtId="10" fontId="2" fillId="2" borderId="1" xfId="0" applyNumberFormat="1" applyFont="1" applyFill="1" applyBorder="1" applyAlignment="1">
      <alignment wrapText="1"/>
    </xf>
    <xf numFmtId="10" fontId="0" fillId="0" borderId="1" xfId="0" applyNumberFormat="1" applyFill="1" applyBorder="1" applyAlignment="1">
      <alignment wrapText="1"/>
    </xf>
    <xf numFmtId="0" fontId="0" fillId="3" borderId="0" xfId="0" applyFill="1"/>
    <xf numFmtId="0" fontId="2" fillId="3" borderId="1" xfId="0" applyFont="1" applyFill="1" applyBorder="1" applyAlignment="1">
      <alignment horizontal="center" vertical="center" wrapText="1"/>
    </xf>
    <xf numFmtId="0" fontId="2" fillId="3" borderId="1" xfId="0" applyFont="1" applyFill="1" applyBorder="1" applyAlignment="1">
      <alignment horizontal="right" vertical="center" wrapText="1"/>
    </xf>
    <xf numFmtId="0" fontId="0" fillId="3" borderId="1" xfId="0" applyFill="1" applyBorder="1" applyAlignment="1">
      <alignment vertical="center" wrapText="1"/>
    </xf>
    <xf numFmtId="0" fontId="0" fillId="3" borderId="1" xfId="0" applyFill="1" applyBorder="1" applyAlignment="1">
      <alignment horizontal="right" vertical="center" wrapText="1"/>
    </xf>
    <xf numFmtId="44" fontId="0" fillId="3" borderId="1" xfId="0" applyNumberFormat="1" applyFill="1" applyBorder="1" applyAlignment="1">
      <alignment horizontal="right" vertical="center" wrapText="1"/>
    </xf>
    <xf numFmtId="10" fontId="0" fillId="3" borderId="1" xfId="0" applyNumberFormat="1" applyFill="1" applyBorder="1" applyAlignment="1">
      <alignment horizontal="right" vertical="center" wrapText="1"/>
    </xf>
    <xf numFmtId="0" fontId="0" fillId="3" borderId="1" xfId="0" applyFill="1" applyBorder="1"/>
    <xf numFmtId="0" fontId="2" fillId="0" borderId="1" xfId="0" applyFont="1" applyFill="1" applyBorder="1" applyAlignment="1">
      <alignment wrapText="1"/>
    </xf>
    <xf numFmtId="0" fontId="0" fillId="0" borderId="0" xfId="0" applyFill="1"/>
    <xf numFmtId="44" fontId="0" fillId="0" borderId="0" xfId="0" applyNumberFormat="1"/>
    <xf numFmtId="44" fontId="0" fillId="0" borderId="1" xfId="0" applyNumberFormat="1" applyBorder="1" applyAlignment="1">
      <alignment horizontal="right" vertical="center" wrapText="1"/>
    </xf>
    <xf numFmtId="44" fontId="0" fillId="0" borderId="1" xfId="0" applyNumberFormat="1" applyBorder="1"/>
    <xf numFmtId="0" fontId="2" fillId="4" borderId="1" xfId="0" applyFont="1" applyFill="1" applyBorder="1" applyAlignment="1">
      <alignment horizontal="center" vertical="center" wrapText="1"/>
    </xf>
    <xf numFmtId="44" fontId="0" fillId="0" borderId="1" xfId="1" applyFont="1" applyBorder="1" applyAlignment="1">
      <alignment horizontal="right" vertical="center" wrapText="1"/>
    </xf>
    <xf numFmtId="44" fontId="0" fillId="0" borderId="1" xfId="1" applyFont="1" applyBorder="1"/>
    <xf numFmtId="0" fontId="2" fillId="0" borderId="1" xfId="0" applyNumberFormat="1" applyFont="1" applyFill="1" applyBorder="1"/>
    <xf numFmtId="0" fontId="2" fillId="0" borderId="1" xfId="0" applyNumberFormat="1" applyFont="1" applyBorder="1"/>
    <xf numFmtId="0" fontId="0" fillId="4" borderId="1" xfId="0" applyFill="1" applyBorder="1" applyAlignment="1">
      <alignment horizontal="center"/>
    </xf>
    <xf numFmtId="0" fontId="0" fillId="4" borderId="0" xfId="0" applyFill="1"/>
    <xf numFmtId="0" fontId="3" fillId="0" borderId="0" xfId="0" applyFont="1"/>
    <xf numFmtId="0" fontId="0" fillId="0" borderId="0" xfId="0" applyAlignment="1">
      <alignment horizontal="center"/>
    </xf>
    <xf numFmtId="0" fontId="0" fillId="0" borderId="0" xfId="0" applyAlignment="1">
      <alignment vertical="top"/>
    </xf>
    <xf numFmtId="0" fontId="0" fillId="5" borderId="0" xfId="0" applyFill="1" applyAlignment="1">
      <alignment horizontal="center" vertical="top" wrapTex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BIVARIADO!$B$2</c:f>
              <c:strCache>
                <c:ptCount val="1"/>
                <c:pt idx="0">
                  <c:v>Precio promedio vendido</c:v>
                </c:pt>
              </c:strCache>
            </c:strRef>
          </c:tx>
          <c:spPr>
            <a:solidFill>
              <a:schemeClr val="accent1"/>
            </a:solidFill>
            <a:ln>
              <a:noFill/>
            </a:ln>
            <a:effectLst/>
          </c:spPr>
          <c:invertIfNegative val="0"/>
          <c:cat>
            <c:strRef>
              <c:f>BIVARIADO!$A$3:$A$12</c:f>
              <c:strCache>
                <c:ptCount val="10"/>
                <c:pt idx="0">
                  <c:v>Eyes combo(paquete 2)</c:v>
                </c:pt>
                <c:pt idx="1">
                  <c:v>Lapiz de ojos(negro)</c:v>
                </c:pt>
                <c:pt idx="2">
                  <c:v>Combo completo(paquete 3)</c:v>
                </c:pt>
                <c:pt idx="3">
                  <c:v>Labial(rojo)</c:v>
                </c:pt>
                <c:pt idx="4">
                  <c:v>Labial(rosado)</c:v>
                </c:pt>
                <c:pt idx="5">
                  <c:v>Labial(morado)</c:v>
                </c:pt>
                <c:pt idx="6">
                  <c:v>Gloss(azul)</c:v>
                </c:pt>
                <c:pt idx="7">
                  <c:v>Gloss(rojo)</c:v>
                </c:pt>
                <c:pt idx="8">
                  <c:v>Lip combo(paquete 1)</c:v>
                </c:pt>
                <c:pt idx="9">
                  <c:v>Lapiz de ojos(azul) </c:v>
                </c:pt>
              </c:strCache>
            </c:strRef>
          </c:cat>
          <c:val>
            <c:numRef>
              <c:f>BIVARIADO!$B$3:$B$12</c:f>
              <c:numCache>
                <c:formatCode>_("$"* #,##0.00_);_("$"* \(#,##0.00\);_("$"* "-"??_);_(@_)</c:formatCode>
                <c:ptCount val="10"/>
                <c:pt idx="0">
                  <c:v>9.7249999999999996</c:v>
                </c:pt>
                <c:pt idx="1">
                  <c:v>5.5</c:v>
                </c:pt>
                <c:pt idx="2">
                  <c:v>25.899999999999995</c:v>
                </c:pt>
                <c:pt idx="3">
                  <c:v>5</c:v>
                </c:pt>
                <c:pt idx="4">
                  <c:v>5</c:v>
                </c:pt>
                <c:pt idx="5">
                  <c:v>5.15</c:v>
                </c:pt>
                <c:pt idx="6">
                  <c:v>6</c:v>
                </c:pt>
                <c:pt idx="7">
                  <c:v>3</c:v>
                </c:pt>
                <c:pt idx="8">
                  <c:v>15.9</c:v>
                </c:pt>
                <c:pt idx="9">
                  <c:v>2.5</c:v>
                </c:pt>
              </c:numCache>
            </c:numRef>
          </c:val>
          <c:extLst>
            <c:ext xmlns:c16="http://schemas.microsoft.com/office/drawing/2014/chart" uri="{C3380CC4-5D6E-409C-BE32-E72D297353CC}">
              <c16:uniqueId val="{00000000-F693-4925-9653-D426FCFD2638}"/>
            </c:ext>
          </c:extLst>
        </c:ser>
        <c:dLbls>
          <c:showLegendKey val="0"/>
          <c:showVal val="0"/>
          <c:showCatName val="0"/>
          <c:showSerName val="0"/>
          <c:showPercent val="0"/>
          <c:showBubbleSize val="0"/>
        </c:dLbls>
        <c:gapWidth val="219"/>
        <c:overlap val="-27"/>
        <c:axId val="1203004111"/>
        <c:axId val="1203000751"/>
      </c:barChart>
      <c:catAx>
        <c:axId val="120300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3000751"/>
        <c:crosses val="autoZero"/>
        <c:auto val="1"/>
        <c:lblAlgn val="ctr"/>
        <c:lblOffset val="100"/>
        <c:noMultiLvlLbl val="0"/>
      </c:catAx>
      <c:valAx>
        <c:axId val="120300075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30041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BIVARIADO!$B$14</c:f>
              <c:strCache>
                <c:ptCount val="1"/>
                <c:pt idx="0">
                  <c:v>Total gastado por cliente</c:v>
                </c:pt>
              </c:strCache>
            </c:strRef>
          </c:tx>
          <c:spPr>
            <a:solidFill>
              <a:schemeClr val="accent1"/>
            </a:solidFill>
            <a:ln>
              <a:noFill/>
            </a:ln>
            <a:effectLst/>
          </c:spPr>
          <c:invertIfNegative val="0"/>
          <c:cat>
            <c:strRef>
              <c:f>BIVARIADO!$A$15:$A$24</c:f>
              <c:strCache>
                <c:ptCount val="10"/>
                <c:pt idx="0">
                  <c:v>i_d 1004827315</c:v>
                </c:pt>
                <c:pt idx="1">
                  <c:v>i_d 1037592846</c:v>
                </c:pt>
                <c:pt idx="2">
                  <c:v>i_d 1016284937</c:v>
                </c:pt>
                <c:pt idx="3">
                  <c:v>i_d 1073946258</c:v>
                </c:pt>
                <c:pt idx="4">
                  <c:v>i_d 1028467153</c:v>
                </c:pt>
                <c:pt idx="5">
                  <c:v>i_d 1057319482</c:v>
                </c:pt>
                <c:pt idx="6">
                  <c:v>i_d 1092846371</c:v>
                </c:pt>
                <c:pt idx="7">
                  <c:v>i_d 1046938275</c:v>
                </c:pt>
                <c:pt idx="8">
                  <c:v>i_d 1065183749</c:v>
                </c:pt>
                <c:pt idx="9">
                  <c:v>i_d 1083726154</c:v>
                </c:pt>
              </c:strCache>
            </c:strRef>
          </c:cat>
          <c:val>
            <c:numRef>
              <c:f>BIVARIADO!$B$15:$B$24</c:f>
              <c:numCache>
                <c:formatCode>_("$"* #,##0.00_);_("$"* \(#,##0.00\);_("$"* "-"??_);_(@_)</c:formatCode>
                <c:ptCount val="10"/>
                <c:pt idx="0">
                  <c:v>15.5</c:v>
                </c:pt>
                <c:pt idx="1">
                  <c:v>8</c:v>
                </c:pt>
                <c:pt idx="2">
                  <c:v>5.5</c:v>
                </c:pt>
                <c:pt idx="3">
                  <c:v>59.699999999999996</c:v>
                </c:pt>
                <c:pt idx="4">
                  <c:v>31.9</c:v>
                </c:pt>
                <c:pt idx="5">
                  <c:v>5</c:v>
                </c:pt>
                <c:pt idx="6">
                  <c:v>15</c:v>
                </c:pt>
                <c:pt idx="7">
                  <c:v>21.3</c:v>
                </c:pt>
                <c:pt idx="8">
                  <c:v>21.8</c:v>
                </c:pt>
                <c:pt idx="9">
                  <c:v>13</c:v>
                </c:pt>
              </c:numCache>
            </c:numRef>
          </c:val>
          <c:extLst>
            <c:ext xmlns:c16="http://schemas.microsoft.com/office/drawing/2014/chart" uri="{C3380CC4-5D6E-409C-BE32-E72D297353CC}">
              <c16:uniqueId val="{00000000-7A74-4EAE-84B8-6481F4A852DE}"/>
            </c:ext>
          </c:extLst>
        </c:ser>
        <c:dLbls>
          <c:showLegendKey val="0"/>
          <c:showVal val="0"/>
          <c:showCatName val="0"/>
          <c:showSerName val="0"/>
          <c:showPercent val="0"/>
          <c:showBubbleSize val="0"/>
        </c:dLbls>
        <c:gapWidth val="182"/>
        <c:axId val="121160911"/>
        <c:axId val="121163791"/>
      </c:barChart>
      <c:catAx>
        <c:axId val="121160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1163791"/>
        <c:crosses val="autoZero"/>
        <c:auto val="1"/>
        <c:lblAlgn val="ctr"/>
        <c:lblOffset val="100"/>
        <c:noMultiLvlLbl val="0"/>
      </c:catAx>
      <c:valAx>
        <c:axId val="121163791"/>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11609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pago</a:t>
            </a:r>
            <a:r>
              <a:rPr lang="es-CO" baseline="0"/>
              <a:t> vs descuento</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BIVARIADO!$B$26</c:f>
              <c:strCache>
                <c:ptCount val="1"/>
                <c:pt idx="0">
                  <c:v>Total gastado por cliente</c:v>
                </c:pt>
              </c:strCache>
            </c:strRef>
          </c:tx>
          <c:spPr>
            <a:solidFill>
              <a:schemeClr val="accent1"/>
            </a:solidFill>
            <a:ln>
              <a:noFill/>
            </a:ln>
            <a:effectLst/>
          </c:spPr>
          <c:invertIfNegative val="0"/>
          <c:cat>
            <c:strRef>
              <c:f>BIVARIADO!$A$27:$A$36</c:f>
              <c:strCache>
                <c:ptCount val="10"/>
                <c:pt idx="0">
                  <c:v>i_d 1004827315</c:v>
                </c:pt>
                <c:pt idx="1">
                  <c:v>i_d 1037592846</c:v>
                </c:pt>
                <c:pt idx="2">
                  <c:v>i_d 1016284937</c:v>
                </c:pt>
                <c:pt idx="3">
                  <c:v>i_d 1073946258</c:v>
                </c:pt>
                <c:pt idx="4">
                  <c:v>i_d 1028467153</c:v>
                </c:pt>
                <c:pt idx="5">
                  <c:v>i_d 1057319482</c:v>
                </c:pt>
                <c:pt idx="6">
                  <c:v>i_d 1092846371</c:v>
                </c:pt>
                <c:pt idx="7">
                  <c:v>i_d 1046938275</c:v>
                </c:pt>
                <c:pt idx="8">
                  <c:v>i_d 1065183749</c:v>
                </c:pt>
                <c:pt idx="9">
                  <c:v>i_d 1083726154</c:v>
                </c:pt>
              </c:strCache>
            </c:strRef>
          </c:cat>
          <c:val>
            <c:numRef>
              <c:f>BIVARIADO!$B$27:$B$36</c:f>
              <c:numCache>
                <c:formatCode>_("$"* #,##0.00_);_("$"* \(#,##0.00\);_("$"* "-"??_);_(@_)</c:formatCode>
                <c:ptCount val="10"/>
                <c:pt idx="0">
                  <c:v>15.5</c:v>
                </c:pt>
                <c:pt idx="1">
                  <c:v>8</c:v>
                </c:pt>
                <c:pt idx="2">
                  <c:v>5.5</c:v>
                </c:pt>
                <c:pt idx="3">
                  <c:v>59.699999999999996</c:v>
                </c:pt>
                <c:pt idx="4">
                  <c:v>31.9</c:v>
                </c:pt>
                <c:pt idx="5">
                  <c:v>5</c:v>
                </c:pt>
                <c:pt idx="6">
                  <c:v>15</c:v>
                </c:pt>
                <c:pt idx="7">
                  <c:v>21.3</c:v>
                </c:pt>
                <c:pt idx="8">
                  <c:v>21.8</c:v>
                </c:pt>
                <c:pt idx="9">
                  <c:v>13</c:v>
                </c:pt>
              </c:numCache>
            </c:numRef>
          </c:val>
          <c:extLst>
            <c:ext xmlns:c16="http://schemas.microsoft.com/office/drawing/2014/chart" uri="{C3380CC4-5D6E-409C-BE32-E72D297353CC}">
              <c16:uniqueId val="{00000000-EA30-4F4C-B75C-A2C6CBEDB77E}"/>
            </c:ext>
          </c:extLst>
        </c:ser>
        <c:ser>
          <c:idx val="1"/>
          <c:order val="1"/>
          <c:tx>
            <c:strRef>
              <c:f>BIVARIADO!$C$26</c:f>
              <c:strCache>
                <c:ptCount val="1"/>
                <c:pt idx="0">
                  <c:v>total sin descuentos</c:v>
                </c:pt>
              </c:strCache>
            </c:strRef>
          </c:tx>
          <c:spPr>
            <a:solidFill>
              <a:schemeClr val="accent2"/>
            </a:solidFill>
            <a:ln>
              <a:noFill/>
            </a:ln>
            <a:effectLst/>
          </c:spPr>
          <c:invertIfNegative val="0"/>
          <c:cat>
            <c:strRef>
              <c:f>BIVARIADO!$A$27:$A$36</c:f>
              <c:strCache>
                <c:ptCount val="10"/>
                <c:pt idx="0">
                  <c:v>i_d 1004827315</c:v>
                </c:pt>
                <c:pt idx="1">
                  <c:v>i_d 1037592846</c:v>
                </c:pt>
                <c:pt idx="2">
                  <c:v>i_d 1016284937</c:v>
                </c:pt>
                <c:pt idx="3">
                  <c:v>i_d 1073946258</c:v>
                </c:pt>
                <c:pt idx="4">
                  <c:v>i_d 1028467153</c:v>
                </c:pt>
                <c:pt idx="5">
                  <c:v>i_d 1057319482</c:v>
                </c:pt>
                <c:pt idx="6">
                  <c:v>i_d 1092846371</c:v>
                </c:pt>
                <c:pt idx="7">
                  <c:v>i_d 1046938275</c:v>
                </c:pt>
                <c:pt idx="8">
                  <c:v>i_d 1065183749</c:v>
                </c:pt>
                <c:pt idx="9">
                  <c:v>i_d 1083726154</c:v>
                </c:pt>
              </c:strCache>
            </c:strRef>
          </c:cat>
          <c:val>
            <c:numRef>
              <c:f>BIVARIADO!$C$27:$C$36</c:f>
              <c:numCache>
                <c:formatCode>_("$"* #,##0.00_);_("$"* \(#,##0.00\);_("$"* "-"??_);_(@_)</c:formatCode>
                <c:ptCount val="10"/>
                <c:pt idx="0">
                  <c:v>22</c:v>
                </c:pt>
                <c:pt idx="1">
                  <c:v>11.5</c:v>
                </c:pt>
                <c:pt idx="2">
                  <c:v>5.5</c:v>
                </c:pt>
                <c:pt idx="3">
                  <c:v>63.8</c:v>
                </c:pt>
                <c:pt idx="4">
                  <c:v>33.9</c:v>
                </c:pt>
                <c:pt idx="5">
                  <c:v>7</c:v>
                </c:pt>
                <c:pt idx="6">
                  <c:v>18</c:v>
                </c:pt>
                <c:pt idx="7">
                  <c:v>26.9</c:v>
                </c:pt>
                <c:pt idx="8">
                  <c:v>24.9</c:v>
                </c:pt>
                <c:pt idx="9">
                  <c:v>17</c:v>
                </c:pt>
              </c:numCache>
            </c:numRef>
          </c:val>
          <c:extLst>
            <c:ext xmlns:c16="http://schemas.microsoft.com/office/drawing/2014/chart" uri="{C3380CC4-5D6E-409C-BE32-E72D297353CC}">
              <c16:uniqueId val="{00000001-EA30-4F4C-B75C-A2C6CBEDB77E}"/>
            </c:ext>
          </c:extLst>
        </c:ser>
        <c:dLbls>
          <c:showLegendKey val="0"/>
          <c:showVal val="0"/>
          <c:showCatName val="0"/>
          <c:showSerName val="0"/>
          <c:showPercent val="0"/>
          <c:showBubbleSize val="0"/>
        </c:dLbls>
        <c:gapWidth val="219"/>
        <c:overlap val="-27"/>
        <c:axId val="121164271"/>
        <c:axId val="121157071"/>
      </c:barChart>
      <c:catAx>
        <c:axId val="12116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1157071"/>
        <c:crosses val="autoZero"/>
        <c:auto val="1"/>
        <c:lblAlgn val="ctr"/>
        <c:lblOffset val="100"/>
        <c:noMultiLvlLbl val="0"/>
      </c:catAx>
      <c:valAx>
        <c:axId val="12115707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11642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tx>
            <c:strRef>
              <c:f>CORRELACIÓN!$B$1</c:f>
              <c:strCache>
                <c:ptCount val="1"/>
                <c:pt idx="0">
                  <c:v> Precio vendido</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7301224846894142"/>
                  <c:y val="2.3972368037328669E-2"/>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1" baseline="0"/>
                      <a:t>y = 1,0206x - 1,9276</a:t>
                    </a:r>
                    <a:br>
                      <a:rPr lang="en-US" b="1" baseline="0"/>
                    </a:br>
                    <a:r>
                      <a:rPr lang="en-US" b="1" baseline="0"/>
                      <a:t>R² = 0,9662</a:t>
                    </a:r>
                    <a:endParaRPr lang="en-US" b="1"/>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CORRELACIÓN!$A$2:$A$21</c:f>
              <c:numCache>
                <c:formatCode>_("$"* #,##0.00_);_("$"* \(#,##0.00\);_("$"* "-"??_);_(@_)</c:formatCode>
                <c:ptCount val="20"/>
                <c:pt idx="0">
                  <c:v>10</c:v>
                </c:pt>
                <c:pt idx="1">
                  <c:v>5.5</c:v>
                </c:pt>
                <c:pt idx="2">
                  <c:v>5.5</c:v>
                </c:pt>
                <c:pt idx="3">
                  <c:v>26.9</c:v>
                </c:pt>
                <c:pt idx="4">
                  <c:v>7</c:v>
                </c:pt>
                <c:pt idx="5">
                  <c:v>7</c:v>
                </c:pt>
                <c:pt idx="6">
                  <c:v>8</c:v>
                </c:pt>
                <c:pt idx="7">
                  <c:v>8</c:v>
                </c:pt>
                <c:pt idx="8">
                  <c:v>6</c:v>
                </c:pt>
                <c:pt idx="9">
                  <c:v>10</c:v>
                </c:pt>
                <c:pt idx="10">
                  <c:v>6</c:v>
                </c:pt>
                <c:pt idx="11">
                  <c:v>7</c:v>
                </c:pt>
                <c:pt idx="12">
                  <c:v>18.899999999999999</c:v>
                </c:pt>
                <c:pt idx="13">
                  <c:v>18.899999999999999</c:v>
                </c:pt>
                <c:pt idx="14">
                  <c:v>10</c:v>
                </c:pt>
                <c:pt idx="15">
                  <c:v>10</c:v>
                </c:pt>
                <c:pt idx="16">
                  <c:v>26.9</c:v>
                </c:pt>
                <c:pt idx="17">
                  <c:v>26.9</c:v>
                </c:pt>
                <c:pt idx="18">
                  <c:v>6</c:v>
                </c:pt>
                <c:pt idx="19">
                  <c:v>6</c:v>
                </c:pt>
              </c:numCache>
            </c:numRef>
          </c:xVal>
          <c:yVal>
            <c:numRef>
              <c:f>CORRELACIÓN!$B$2:$B$21</c:f>
              <c:numCache>
                <c:formatCode>_("$"* #,##0.00_);_("$"* \(#,##0.00\);_("$"* "-"??_);_(@_)</c:formatCode>
                <c:ptCount val="20"/>
                <c:pt idx="0">
                  <c:v>10</c:v>
                </c:pt>
                <c:pt idx="1">
                  <c:v>5.5</c:v>
                </c:pt>
                <c:pt idx="2">
                  <c:v>5.5</c:v>
                </c:pt>
                <c:pt idx="3">
                  <c:v>24.9</c:v>
                </c:pt>
                <c:pt idx="4">
                  <c:v>5</c:v>
                </c:pt>
                <c:pt idx="5">
                  <c:v>5</c:v>
                </c:pt>
                <c:pt idx="6">
                  <c:v>5</c:v>
                </c:pt>
                <c:pt idx="7">
                  <c:v>5.3</c:v>
                </c:pt>
                <c:pt idx="8">
                  <c:v>6</c:v>
                </c:pt>
                <c:pt idx="9">
                  <c:v>10</c:v>
                </c:pt>
                <c:pt idx="10">
                  <c:v>3</c:v>
                </c:pt>
                <c:pt idx="11">
                  <c:v>3</c:v>
                </c:pt>
                <c:pt idx="12">
                  <c:v>16</c:v>
                </c:pt>
                <c:pt idx="13">
                  <c:v>15.8</c:v>
                </c:pt>
                <c:pt idx="14">
                  <c:v>10</c:v>
                </c:pt>
                <c:pt idx="15">
                  <c:v>8.9</c:v>
                </c:pt>
                <c:pt idx="16">
                  <c:v>25.9</c:v>
                </c:pt>
                <c:pt idx="17">
                  <c:v>26.9</c:v>
                </c:pt>
                <c:pt idx="18">
                  <c:v>2.5</c:v>
                </c:pt>
                <c:pt idx="19">
                  <c:v>2.5</c:v>
                </c:pt>
              </c:numCache>
            </c:numRef>
          </c:yVal>
          <c:smooth val="0"/>
          <c:extLst>
            <c:ext xmlns:c16="http://schemas.microsoft.com/office/drawing/2014/chart" uri="{C3380CC4-5D6E-409C-BE32-E72D297353CC}">
              <c16:uniqueId val="{00000000-DCD3-4BEE-BFD6-45174CDEF24A}"/>
            </c:ext>
          </c:extLst>
        </c:ser>
        <c:dLbls>
          <c:showLegendKey val="0"/>
          <c:showVal val="0"/>
          <c:showCatName val="0"/>
          <c:showSerName val="0"/>
          <c:showPercent val="0"/>
          <c:showBubbleSize val="0"/>
        </c:dLbls>
        <c:axId val="208807423"/>
        <c:axId val="208821343"/>
      </c:scatterChart>
      <c:valAx>
        <c:axId val="208807423"/>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8821343"/>
        <c:crosses val="autoZero"/>
        <c:crossBetween val="midCat"/>
      </c:valAx>
      <c:valAx>
        <c:axId val="20882134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880742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rich>
          <a:bodyPr spcFirstLastPara="1" vertOverflow="ellipsis" horzOverflow="overflow" wrap="square" lIns="0" tIns="0" rIns="0" bIns="0" anchor="ctr" anchorCtr="1"/>
          <a:lstStyle/>
          <a:p>
            <a:pPr algn="ctr" rtl="0">
              <a:defRPr/>
            </a:pPr>
            <a:r>
              <a:rPr lang="es-CO"/>
              <a:t>Distribución del precio de venta</a:t>
            </a:r>
            <a:endParaRPr lang="es-ES" sz="1400" b="0" i="0" u="none" strike="noStrike" baseline="0">
              <a:solidFill>
                <a:sysClr val="windowText" lastClr="000000">
                  <a:lumMod val="65000"/>
                  <a:lumOff val="35000"/>
                </a:sysClr>
              </a:solidFill>
              <a:latin typeface="Calibri" panose="020F0502020204030204"/>
            </a:endParaRPr>
          </a:p>
        </cx:rich>
      </cx:tx>
    </cx:title>
    <cx:plotArea>
      <cx:plotAreaRegion>
        <cx:series layoutId="clusteredColumn" uniqueId="{B2C9CA2E-3832-4A67-8982-E40E0023CE45}">
          <cx:tx>
            <cx:txData>
              <cx:f>_xlchart.v1.4</cx:f>
              <cx:v> precio vendido </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rich>
          <a:bodyPr spcFirstLastPara="1" vertOverflow="ellipsis" horzOverflow="overflow" wrap="square" lIns="0" tIns="0" rIns="0" bIns="0" anchor="ctr" anchorCtr="1"/>
          <a:lstStyle/>
          <a:p>
            <a:pPr algn="ctr" rtl="0">
              <a:defRPr/>
            </a:pPr>
            <a:r>
              <a:rPr lang="es-CO"/>
              <a:t>Distribución porcentual de los descuentos</a:t>
            </a:r>
            <a:endParaRPr lang="es-ES" sz="1400" b="0" i="0" u="none" strike="noStrike" baseline="0">
              <a:solidFill>
                <a:sysClr val="windowText" lastClr="000000">
                  <a:lumMod val="65000"/>
                  <a:lumOff val="35000"/>
                </a:sysClr>
              </a:solidFill>
              <a:latin typeface="Calibri" panose="020F0502020204030204"/>
            </a:endParaRPr>
          </a:p>
        </cx:rich>
      </cx:tx>
    </cx:title>
    <cx:plotArea>
      <cx:plotAreaRegion>
        <cx:series layoutId="clusteredColumn" uniqueId="{F80C8DD5-439A-4082-964E-935D09E579EE}">
          <cx:tx>
            <cx:txData>
              <cx:f>_xlchart.v1.1</cx:f>
              <cx:v>porcentaje de descuento</cx:v>
            </cx:txData>
          </cx:tx>
          <cx:dataId val="0"/>
          <cx:layoutPr>
            <cx:binning intervalClosed="r"/>
          </cx:layoutPr>
        </cx:series>
      </cx:plotAreaRegion>
      <cx:axis id="0">
        <cx:catScaling gapWidth="0"/>
        <cx:tickLabels/>
      </cx:axis>
      <cx:axis id="1">
        <cx:valScaling/>
        <cx:majorGridlines/>
        <cx:tickLabels/>
      </cx:axis>
    </cx:plotArea>
  </cx:chart>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xdr:colOff>
      <xdr:row>13</xdr:row>
      <xdr:rowOff>40821</xdr:rowOff>
    </xdr:from>
    <xdr:to>
      <xdr:col>3</xdr:col>
      <xdr:colOff>762001</xdr:colOff>
      <xdr:row>25</xdr:row>
      <xdr:rowOff>163966</xdr:rowOff>
    </xdr:to>
    <mc:AlternateContent xmlns:mc="http://schemas.openxmlformats.org/markup-compatibility/2006">
      <mc:Choice xmlns:cx1="http://schemas.microsoft.com/office/drawing/2015/9/8/chartex" Requires="cx1">
        <xdr:graphicFrame macro="">
          <xdr:nvGraphicFramePr>
            <xdr:cNvPr id="2" name="Gráfico 1">
              <a:extLst>
                <a:ext uri="{FF2B5EF4-FFF2-40B4-BE49-F238E27FC236}">
                  <a16:creationId xmlns:a16="http://schemas.microsoft.com/office/drawing/2014/main" id="{6535411C-8AC2-4A9D-AB10-83D5A84AFDA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 y="2618921"/>
              <a:ext cx="4089400" cy="2332945"/>
            </a:xfrm>
            <a:prstGeom prst="rect">
              <a:avLst/>
            </a:prstGeom>
            <a:solidFill>
              <a:prstClr val="white"/>
            </a:solidFill>
            <a:ln w="1">
              <a:solidFill>
                <a:prstClr val="green"/>
              </a:solidFill>
            </a:ln>
          </xdr:spPr>
          <xdr:txBody>
            <a:bodyPr vertOverflow="clip" horzOverflow="clip"/>
            <a:lstStyle/>
            <a:p>
              <a:r>
                <a:rPr lang="es-CO"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4</xdr:col>
      <xdr:colOff>285751</xdr:colOff>
      <xdr:row>13</xdr:row>
      <xdr:rowOff>13607</xdr:rowOff>
    </xdr:from>
    <xdr:to>
      <xdr:col>9</xdr:col>
      <xdr:colOff>272141</xdr:colOff>
      <xdr:row>26</xdr:row>
      <xdr:rowOff>103414</xdr:rowOff>
    </xdr:to>
    <mc:AlternateContent xmlns:mc="http://schemas.openxmlformats.org/markup-compatibility/2006">
      <mc:Choice xmlns:cx1="http://schemas.microsoft.com/office/drawing/2015/9/8/chartex" Requires="cx1">
        <xdr:graphicFrame macro="">
          <xdr:nvGraphicFramePr>
            <xdr:cNvPr id="3" name="Gráfico 2">
              <a:extLst>
                <a:ext uri="{FF2B5EF4-FFF2-40B4-BE49-F238E27FC236}">
                  <a16:creationId xmlns:a16="http://schemas.microsoft.com/office/drawing/2014/main" id="{DB0CF1AE-8B5A-49EE-AFC4-E847821DB4A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508501" y="2591707"/>
              <a:ext cx="4234540" cy="2483757"/>
            </a:xfrm>
            <a:prstGeom prst="rect">
              <a:avLst/>
            </a:prstGeom>
            <a:solidFill>
              <a:prstClr val="white"/>
            </a:solidFill>
            <a:ln w="1">
              <a:solidFill>
                <a:prstClr val="green"/>
              </a:solidFill>
            </a:ln>
          </xdr:spPr>
          <xdr:txBody>
            <a:bodyPr vertOverflow="clip" horzOverflow="clip"/>
            <a:lstStyle/>
            <a:p>
              <a:r>
                <a:rPr lang="es-CO"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733425</xdr:colOff>
      <xdr:row>0</xdr:row>
      <xdr:rowOff>127000</xdr:rowOff>
    </xdr:from>
    <xdr:to>
      <xdr:col>10</xdr:col>
      <xdr:colOff>733425</xdr:colOff>
      <xdr:row>15</xdr:row>
      <xdr:rowOff>50800</xdr:rowOff>
    </xdr:to>
    <xdr:graphicFrame macro="">
      <xdr:nvGraphicFramePr>
        <xdr:cNvPr id="2" name="Gráfico 1">
          <a:extLst>
            <a:ext uri="{FF2B5EF4-FFF2-40B4-BE49-F238E27FC236}">
              <a16:creationId xmlns:a16="http://schemas.microsoft.com/office/drawing/2014/main" id="{5507DE06-EE4C-6F6F-014E-5A589D27AF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53975</xdr:colOff>
      <xdr:row>15</xdr:row>
      <xdr:rowOff>158750</xdr:rowOff>
    </xdr:from>
    <xdr:to>
      <xdr:col>11</xdr:col>
      <xdr:colOff>53975</xdr:colOff>
      <xdr:row>30</xdr:row>
      <xdr:rowOff>139700</xdr:rowOff>
    </xdr:to>
    <xdr:graphicFrame macro="">
      <xdr:nvGraphicFramePr>
        <xdr:cNvPr id="3" name="Gráfico 2">
          <a:extLst>
            <a:ext uri="{FF2B5EF4-FFF2-40B4-BE49-F238E27FC236}">
              <a16:creationId xmlns:a16="http://schemas.microsoft.com/office/drawing/2014/main" id="{ECA0A795-17FF-5AB0-50F4-62B1A430A7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111125</xdr:colOff>
      <xdr:row>31</xdr:row>
      <xdr:rowOff>158750</xdr:rowOff>
    </xdr:from>
    <xdr:to>
      <xdr:col>11</xdr:col>
      <xdr:colOff>111125</xdr:colOff>
      <xdr:row>46</xdr:row>
      <xdr:rowOff>139700</xdr:rowOff>
    </xdr:to>
    <xdr:graphicFrame macro="">
      <xdr:nvGraphicFramePr>
        <xdr:cNvPr id="4" name="Gráfico 3">
          <a:extLst>
            <a:ext uri="{FF2B5EF4-FFF2-40B4-BE49-F238E27FC236}">
              <a16:creationId xmlns:a16="http://schemas.microsoft.com/office/drawing/2014/main" id="{9E3B3423-624A-956D-3BCA-73FCFED8F7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752475</xdr:colOff>
      <xdr:row>3</xdr:row>
      <xdr:rowOff>6350</xdr:rowOff>
    </xdr:from>
    <xdr:to>
      <xdr:col>9</xdr:col>
      <xdr:colOff>752475</xdr:colOff>
      <xdr:row>17</xdr:row>
      <xdr:rowOff>171450</xdr:rowOff>
    </xdr:to>
    <xdr:graphicFrame macro="">
      <xdr:nvGraphicFramePr>
        <xdr:cNvPr id="2" name="Gráfico 1">
          <a:extLst>
            <a:ext uri="{FF2B5EF4-FFF2-40B4-BE49-F238E27FC236}">
              <a16:creationId xmlns:a16="http://schemas.microsoft.com/office/drawing/2014/main" id="{37648956-EBD5-2457-1984-EC72D29FC2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5AE59-61E5-422E-8477-06AFA014ADF4}">
  <dimension ref="A1:I16"/>
  <sheetViews>
    <sheetView workbookViewId="0">
      <selection activeCell="L2" sqref="L2"/>
    </sheetView>
  </sheetViews>
  <sheetFormatPr baseColWidth="10" defaultRowHeight="14.5" x14ac:dyDescent="0.35"/>
  <sheetData>
    <row r="1" spans="1:9" ht="43.5" x14ac:dyDescent="0.35">
      <c r="A1" s="10" t="s">
        <v>13</v>
      </c>
      <c r="B1" s="10" t="s">
        <v>14</v>
      </c>
      <c r="C1" s="10" t="s">
        <v>15</v>
      </c>
      <c r="D1" s="10" t="s">
        <v>16</v>
      </c>
      <c r="E1" s="10" t="s">
        <v>17</v>
      </c>
      <c r="F1" s="3" t="s">
        <v>18</v>
      </c>
      <c r="G1" s="3"/>
      <c r="H1" s="10" t="s">
        <v>19</v>
      </c>
      <c r="I1" s="10" t="s">
        <v>20</v>
      </c>
    </row>
    <row r="2" spans="1:9" ht="29" x14ac:dyDescent="0.35">
      <c r="A2" s="10" t="s">
        <v>21</v>
      </c>
      <c r="B2" s="3">
        <v>2</v>
      </c>
      <c r="C2" s="3">
        <v>3</v>
      </c>
      <c r="D2" s="3">
        <v>6</v>
      </c>
      <c r="E2" s="3"/>
      <c r="F2" s="3">
        <f>B2*D2</f>
        <v>12</v>
      </c>
      <c r="G2" s="3"/>
      <c r="H2" t="s">
        <v>22</v>
      </c>
      <c r="I2">
        <v>10</v>
      </c>
    </row>
    <row r="3" spans="1:9" ht="29" x14ac:dyDescent="0.35">
      <c r="A3" s="10" t="s">
        <v>7</v>
      </c>
      <c r="B3" s="3">
        <v>3</v>
      </c>
      <c r="C3" s="3">
        <v>2.5</v>
      </c>
      <c r="D3" s="3">
        <v>5.5</v>
      </c>
      <c r="E3" s="3"/>
      <c r="F3" s="3">
        <f t="shared" ref="F3:F16" si="0">B3*D3</f>
        <v>16.5</v>
      </c>
      <c r="G3" s="3"/>
      <c r="H3" t="s">
        <v>23</v>
      </c>
      <c r="I3">
        <v>5.5</v>
      </c>
    </row>
    <row r="4" spans="1:9" x14ac:dyDescent="0.35">
      <c r="A4" s="10" t="s">
        <v>24</v>
      </c>
      <c r="B4" s="3">
        <v>5</v>
      </c>
      <c r="C4" s="3">
        <v>4</v>
      </c>
      <c r="D4" s="3">
        <v>6.5</v>
      </c>
      <c r="E4" s="3"/>
      <c r="F4" s="3">
        <f t="shared" si="0"/>
        <v>32.5</v>
      </c>
      <c r="G4" s="3"/>
      <c r="H4" t="s">
        <v>25</v>
      </c>
      <c r="I4">
        <v>24.9</v>
      </c>
    </row>
    <row r="5" spans="1:9" ht="29" x14ac:dyDescent="0.35">
      <c r="A5" s="10" t="s">
        <v>26</v>
      </c>
      <c r="B5" s="3">
        <v>2</v>
      </c>
      <c r="C5" s="3">
        <v>3</v>
      </c>
      <c r="D5" s="3">
        <v>6</v>
      </c>
      <c r="E5" s="3"/>
      <c r="F5" s="3">
        <f t="shared" si="0"/>
        <v>12</v>
      </c>
      <c r="G5" s="3"/>
      <c r="H5" t="s">
        <v>27</v>
      </c>
      <c r="I5">
        <v>15</v>
      </c>
    </row>
    <row r="6" spans="1:9" ht="29" x14ac:dyDescent="0.35">
      <c r="A6" s="10" t="s">
        <v>28</v>
      </c>
      <c r="B6" s="3">
        <v>3</v>
      </c>
      <c r="C6" s="3">
        <v>2.5</v>
      </c>
      <c r="D6" s="3">
        <v>5</v>
      </c>
      <c r="E6" s="3"/>
      <c r="F6" s="3">
        <f t="shared" si="0"/>
        <v>15</v>
      </c>
      <c r="G6" s="3"/>
      <c r="H6" t="s">
        <v>23</v>
      </c>
      <c r="I6">
        <v>5.5</v>
      </c>
    </row>
    <row r="7" spans="1:9" x14ac:dyDescent="0.35">
      <c r="A7" s="10" t="s">
        <v>9</v>
      </c>
      <c r="B7" s="3">
        <v>2</v>
      </c>
      <c r="C7" s="3">
        <v>4</v>
      </c>
      <c r="D7" s="3">
        <v>7</v>
      </c>
      <c r="E7" s="3"/>
      <c r="F7" s="3">
        <f t="shared" si="0"/>
        <v>14</v>
      </c>
      <c r="G7" s="3"/>
      <c r="H7" t="s">
        <v>29</v>
      </c>
      <c r="I7">
        <v>5.3</v>
      </c>
    </row>
    <row r="8" spans="1:9" ht="29" x14ac:dyDescent="0.35">
      <c r="A8" s="10" t="s">
        <v>12</v>
      </c>
      <c r="B8" s="3">
        <v>2</v>
      </c>
      <c r="C8" s="3">
        <v>4</v>
      </c>
      <c r="D8" s="3">
        <v>7</v>
      </c>
      <c r="E8" s="3"/>
      <c r="F8" s="3">
        <f t="shared" si="0"/>
        <v>14</v>
      </c>
      <c r="G8" s="3"/>
      <c r="H8" t="s">
        <v>30</v>
      </c>
      <c r="I8">
        <v>6</v>
      </c>
    </row>
    <row r="9" spans="1:9" ht="29" x14ac:dyDescent="0.35">
      <c r="A9" s="10" t="s">
        <v>31</v>
      </c>
      <c r="B9" s="3">
        <v>1</v>
      </c>
      <c r="C9" s="3">
        <v>4.5</v>
      </c>
      <c r="D9" s="3">
        <v>8</v>
      </c>
      <c r="E9" s="3"/>
      <c r="F9" s="3">
        <f t="shared" si="0"/>
        <v>8</v>
      </c>
      <c r="G9" s="3"/>
      <c r="H9" t="s">
        <v>32</v>
      </c>
      <c r="I9">
        <v>10</v>
      </c>
    </row>
    <row r="10" spans="1:9" ht="29" x14ac:dyDescent="0.35">
      <c r="A10" s="10" t="s">
        <v>33</v>
      </c>
      <c r="B10" s="3">
        <v>2</v>
      </c>
      <c r="C10" s="3">
        <v>3.5</v>
      </c>
      <c r="D10" s="3">
        <v>6</v>
      </c>
      <c r="E10" s="3"/>
      <c r="F10" s="3">
        <f t="shared" si="0"/>
        <v>12</v>
      </c>
      <c r="G10" s="3"/>
      <c r="H10" t="s">
        <v>30</v>
      </c>
      <c r="I10">
        <v>3</v>
      </c>
    </row>
    <row r="11" spans="1:9" x14ac:dyDescent="0.35">
      <c r="A11" s="10" t="s">
        <v>11</v>
      </c>
      <c r="B11" s="3">
        <v>1</v>
      </c>
      <c r="C11" s="3">
        <v>3</v>
      </c>
      <c r="D11" s="3">
        <v>6</v>
      </c>
      <c r="E11" s="3"/>
      <c r="F11" s="3">
        <f t="shared" si="0"/>
        <v>6</v>
      </c>
      <c r="G11" s="3"/>
      <c r="H11" t="s">
        <v>29</v>
      </c>
      <c r="I11">
        <v>3</v>
      </c>
    </row>
    <row r="12" spans="1:9" x14ac:dyDescent="0.35">
      <c r="A12" s="10" t="s">
        <v>10</v>
      </c>
      <c r="B12" s="3">
        <v>2</v>
      </c>
      <c r="C12" s="3">
        <v>3.5</v>
      </c>
      <c r="D12" s="3">
        <v>6</v>
      </c>
      <c r="E12" s="3"/>
      <c r="F12" s="3">
        <f t="shared" si="0"/>
        <v>12</v>
      </c>
      <c r="G12" s="3"/>
    </row>
    <row r="13" spans="1:9" x14ac:dyDescent="0.35">
      <c r="A13" s="10" t="s">
        <v>34</v>
      </c>
      <c r="B13" s="3">
        <v>15</v>
      </c>
      <c r="C13" s="3"/>
      <c r="D13" s="3"/>
      <c r="E13" s="3"/>
      <c r="F13" s="3">
        <f t="shared" si="0"/>
        <v>0</v>
      </c>
      <c r="G13" s="3"/>
    </row>
    <row r="14" spans="1:9" x14ac:dyDescent="0.35">
      <c r="A14" s="10" t="s">
        <v>35</v>
      </c>
      <c r="B14" s="3">
        <v>5</v>
      </c>
      <c r="C14" s="3">
        <v>8.5</v>
      </c>
      <c r="D14" s="3">
        <v>18.899999999999999</v>
      </c>
      <c r="E14" s="3"/>
      <c r="F14" s="3">
        <f t="shared" si="0"/>
        <v>94.5</v>
      </c>
      <c r="G14" s="3"/>
    </row>
    <row r="15" spans="1:9" x14ac:dyDescent="0.35">
      <c r="A15" s="10" t="s">
        <v>36</v>
      </c>
      <c r="B15" s="3">
        <v>5</v>
      </c>
      <c r="C15" s="3">
        <v>3</v>
      </c>
      <c r="D15" s="3">
        <v>10</v>
      </c>
      <c r="E15" s="3"/>
      <c r="F15" s="3">
        <f t="shared" si="0"/>
        <v>50</v>
      </c>
      <c r="G15" s="3"/>
    </row>
    <row r="16" spans="1:9" ht="29" x14ac:dyDescent="0.35">
      <c r="A16" s="10" t="s">
        <v>37</v>
      </c>
      <c r="B16" s="3">
        <v>5</v>
      </c>
      <c r="C16" s="3">
        <v>13</v>
      </c>
      <c r="D16" s="3">
        <v>26.9</v>
      </c>
      <c r="E16" s="3"/>
      <c r="F16" s="3">
        <f t="shared" si="0"/>
        <v>134.5</v>
      </c>
      <c r="G16"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62B81-F777-4CB9-B394-107DCCD2ED85}">
  <dimension ref="A1:J27"/>
  <sheetViews>
    <sheetView zoomScale="60" zoomScaleNormal="60" workbookViewId="0">
      <selection activeCell="F2" sqref="F2:F21"/>
    </sheetView>
  </sheetViews>
  <sheetFormatPr baseColWidth="10" defaultRowHeight="14.5" x14ac:dyDescent="0.35"/>
  <cols>
    <col min="1" max="1" width="17" style="4" customWidth="1"/>
    <col min="2" max="2" width="27.1796875" customWidth="1"/>
    <col min="3" max="3" width="20.7265625" customWidth="1"/>
    <col min="4" max="4" width="30.453125" customWidth="1"/>
    <col min="5" max="5" width="20.453125" customWidth="1"/>
    <col min="6" max="6" width="16.54296875" customWidth="1"/>
    <col min="7" max="7" width="15" customWidth="1"/>
    <col min="8" max="8" width="32.453125" style="23" customWidth="1"/>
  </cols>
  <sheetData>
    <row r="1" spans="1:10" ht="13.5" customHeight="1" x14ac:dyDescent="0.35">
      <c r="A1" s="11" t="s">
        <v>0</v>
      </c>
      <c r="B1" s="1" t="s">
        <v>1</v>
      </c>
      <c r="C1" s="1" t="s">
        <v>2</v>
      </c>
      <c r="D1" s="1" t="s">
        <v>3</v>
      </c>
      <c r="E1" s="2" t="s">
        <v>4</v>
      </c>
      <c r="F1" s="2" t="s">
        <v>5</v>
      </c>
      <c r="G1" s="12" t="s">
        <v>6</v>
      </c>
      <c r="H1" s="26" t="s">
        <v>62</v>
      </c>
      <c r="I1" s="3"/>
      <c r="J1" s="3"/>
    </row>
    <row r="2" spans="1:10" ht="20.25" customHeight="1" x14ac:dyDescent="0.35">
      <c r="A2" s="16">
        <v>1004827315</v>
      </c>
      <c r="B2" s="5">
        <v>1234</v>
      </c>
      <c r="C2" s="5">
        <v>111123</v>
      </c>
      <c r="D2" s="5" t="s">
        <v>38</v>
      </c>
      <c r="E2" s="6">
        <v>10</v>
      </c>
      <c r="F2" s="7">
        <v>10</v>
      </c>
      <c r="G2" s="13">
        <f>F2-E2</f>
        <v>0</v>
      </c>
      <c r="H2" s="27">
        <f>(G2/F2)*100%</f>
        <v>0</v>
      </c>
      <c r="I2" s="3"/>
      <c r="J2" s="8"/>
    </row>
    <row r="3" spans="1:10" ht="19.5" customHeight="1" x14ac:dyDescent="0.35">
      <c r="A3" s="16">
        <v>1037592846</v>
      </c>
      <c r="B3" s="5">
        <v>1235</v>
      </c>
      <c r="C3" s="5">
        <v>111124</v>
      </c>
      <c r="D3" s="5" t="s">
        <v>39</v>
      </c>
      <c r="E3" s="6">
        <v>5.5</v>
      </c>
      <c r="F3" s="7">
        <v>5.5</v>
      </c>
      <c r="G3" s="13">
        <f t="shared" ref="G3:G21" si="0">F3-E3</f>
        <v>0</v>
      </c>
      <c r="H3" s="27">
        <f t="shared" ref="H3:H21" si="1">(G3/F3)*100%</f>
        <v>0</v>
      </c>
      <c r="I3" s="3"/>
      <c r="J3" s="8"/>
    </row>
    <row r="4" spans="1:10" ht="15.75" customHeight="1" x14ac:dyDescent="0.35">
      <c r="A4" s="16">
        <v>1016284937</v>
      </c>
      <c r="B4" s="5">
        <v>1236</v>
      </c>
      <c r="C4" s="5">
        <v>111125</v>
      </c>
      <c r="D4" s="5" t="s">
        <v>39</v>
      </c>
      <c r="E4" s="6">
        <v>5.5</v>
      </c>
      <c r="F4" s="7">
        <v>5.5</v>
      </c>
      <c r="G4" s="13">
        <f t="shared" si="0"/>
        <v>0</v>
      </c>
      <c r="H4" s="27">
        <f t="shared" si="1"/>
        <v>0</v>
      </c>
      <c r="I4" s="3"/>
      <c r="J4" s="3"/>
    </row>
    <row r="5" spans="1:10" ht="16.5" customHeight="1" x14ac:dyDescent="0.35">
      <c r="A5" s="16">
        <v>1073946258</v>
      </c>
      <c r="B5" s="5">
        <v>1237</v>
      </c>
      <c r="C5" s="5">
        <v>111126</v>
      </c>
      <c r="D5" s="5" t="s">
        <v>40</v>
      </c>
      <c r="E5" s="6">
        <v>24.9</v>
      </c>
      <c r="F5" s="7">
        <v>26.9</v>
      </c>
      <c r="G5" s="13">
        <f t="shared" si="0"/>
        <v>2</v>
      </c>
      <c r="H5" s="27">
        <f t="shared" si="1"/>
        <v>7.434944237918216E-2</v>
      </c>
      <c r="I5" s="3"/>
      <c r="J5" s="3"/>
    </row>
    <row r="6" spans="1:10" ht="15.75" customHeight="1" x14ac:dyDescent="0.35">
      <c r="A6" s="16">
        <v>1028467153</v>
      </c>
      <c r="B6" s="5">
        <v>1238</v>
      </c>
      <c r="C6" s="5">
        <v>111127</v>
      </c>
      <c r="D6" s="5" t="s">
        <v>41</v>
      </c>
      <c r="E6" s="6">
        <v>5</v>
      </c>
      <c r="F6" s="7">
        <v>7</v>
      </c>
      <c r="G6" s="13">
        <f t="shared" si="0"/>
        <v>2</v>
      </c>
      <c r="H6" s="27">
        <f t="shared" si="1"/>
        <v>0.2857142857142857</v>
      </c>
      <c r="I6" s="3"/>
      <c r="J6" s="3"/>
    </row>
    <row r="7" spans="1:10" ht="16.5" customHeight="1" x14ac:dyDescent="0.35">
      <c r="A7" s="16">
        <v>1057319482</v>
      </c>
      <c r="B7" s="5">
        <v>1239</v>
      </c>
      <c r="C7" s="5">
        <v>111128</v>
      </c>
      <c r="D7" s="5" t="s">
        <v>42</v>
      </c>
      <c r="E7" s="6">
        <v>5</v>
      </c>
      <c r="F7" s="7">
        <v>7</v>
      </c>
      <c r="G7" s="13">
        <f t="shared" si="0"/>
        <v>2</v>
      </c>
      <c r="H7" s="27">
        <f t="shared" si="1"/>
        <v>0.2857142857142857</v>
      </c>
      <c r="I7" s="3"/>
      <c r="J7" s="3"/>
    </row>
    <row r="8" spans="1:10" ht="15.75" customHeight="1" x14ac:dyDescent="0.35">
      <c r="A8" s="16">
        <v>1092846371</v>
      </c>
      <c r="B8" s="5">
        <v>1230</v>
      </c>
      <c r="C8" s="5">
        <v>111129</v>
      </c>
      <c r="D8" s="5" t="s">
        <v>43</v>
      </c>
      <c r="E8" s="6">
        <v>5</v>
      </c>
      <c r="F8" s="7">
        <v>8</v>
      </c>
      <c r="G8" s="13">
        <f t="shared" si="0"/>
        <v>3</v>
      </c>
      <c r="H8" s="27">
        <f t="shared" si="1"/>
        <v>0.375</v>
      </c>
      <c r="I8" s="3"/>
      <c r="J8" s="3"/>
    </row>
    <row r="9" spans="1:10" ht="15" customHeight="1" x14ac:dyDescent="0.35">
      <c r="A9" s="16">
        <v>1046938275</v>
      </c>
      <c r="B9" s="5">
        <v>2234</v>
      </c>
      <c r="C9" s="5">
        <v>111120</v>
      </c>
      <c r="D9" s="5" t="s">
        <v>43</v>
      </c>
      <c r="E9" s="6">
        <v>5.3</v>
      </c>
      <c r="F9" s="7">
        <v>8</v>
      </c>
      <c r="G9" s="13">
        <f t="shared" si="0"/>
        <v>2.7</v>
      </c>
      <c r="H9" s="27">
        <f t="shared" si="1"/>
        <v>0.33750000000000002</v>
      </c>
      <c r="I9" s="3"/>
      <c r="J9" s="3"/>
    </row>
    <row r="10" spans="1:10" x14ac:dyDescent="0.35">
      <c r="A10" s="16">
        <v>1065183749</v>
      </c>
      <c r="B10" s="5">
        <v>2235</v>
      </c>
      <c r="C10" s="5">
        <v>111223</v>
      </c>
      <c r="D10" s="5" t="s">
        <v>44</v>
      </c>
      <c r="E10" s="6">
        <v>6</v>
      </c>
      <c r="F10" s="7">
        <v>6</v>
      </c>
      <c r="G10" s="13">
        <f t="shared" si="0"/>
        <v>0</v>
      </c>
      <c r="H10" s="27">
        <f t="shared" si="1"/>
        <v>0</v>
      </c>
      <c r="I10" s="3"/>
      <c r="J10" s="3"/>
    </row>
    <row r="11" spans="1:10" ht="15" customHeight="1" x14ac:dyDescent="0.35">
      <c r="A11" s="16">
        <v>1083726154</v>
      </c>
      <c r="B11" s="5">
        <v>2236</v>
      </c>
      <c r="C11" s="5">
        <v>111224</v>
      </c>
      <c r="D11" s="5" t="s">
        <v>38</v>
      </c>
      <c r="E11" s="6">
        <v>10</v>
      </c>
      <c r="F11" s="7">
        <v>10</v>
      </c>
      <c r="G11" s="13">
        <f t="shared" si="0"/>
        <v>0</v>
      </c>
      <c r="H11" s="27">
        <f t="shared" si="1"/>
        <v>0</v>
      </c>
      <c r="I11" s="3"/>
      <c r="J11" s="3"/>
    </row>
    <row r="12" spans="1:10" x14ac:dyDescent="0.35">
      <c r="A12" s="9">
        <f>A2</f>
        <v>1004827315</v>
      </c>
      <c r="B12" s="5">
        <v>2237</v>
      </c>
      <c r="C12" s="5">
        <v>111225</v>
      </c>
      <c r="D12" s="5" t="s">
        <v>45</v>
      </c>
      <c r="E12" s="6">
        <v>3</v>
      </c>
      <c r="F12" s="7">
        <v>6</v>
      </c>
      <c r="G12" s="13">
        <f t="shared" si="0"/>
        <v>3</v>
      </c>
      <c r="H12" s="27">
        <f t="shared" si="1"/>
        <v>0.5</v>
      </c>
      <c r="I12" s="3"/>
      <c r="J12" s="3"/>
    </row>
    <row r="13" spans="1:10" ht="17.25" customHeight="1" x14ac:dyDescent="0.35">
      <c r="A13" s="9">
        <f>A11</f>
        <v>1083726154</v>
      </c>
      <c r="B13" s="5">
        <v>2238</v>
      </c>
      <c r="C13" s="5">
        <v>111226</v>
      </c>
      <c r="D13" s="5" t="s">
        <v>46</v>
      </c>
      <c r="E13" s="6">
        <v>3</v>
      </c>
      <c r="F13" s="7">
        <v>7</v>
      </c>
      <c r="G13" s="13">
        <f t="shared" si="0"/>
        <v>4</v>
      </c>
      <c r="H13" s="27">
        <f t="shared" si="1"/>
        <v>0.5714285714285714</v>
      </c>
      <c r="I13" s="3"/>
      <c r="J13" s="3"/>
    </row>
    <row r="14" spans="1:10" x14ac:dyDescent="0.35">
      <c r="A14" s="9">
        <f>A9</f>
        <v>1046938275</v>
      </c>
      <c r="B14" s="5">
        <v>2239</v>
      </c>
      <c r="C14" s="5">
        <v>111227</v>
      </c>
      <c r="D14" s="5" t="s">
        <v>47</v>
      </c>
      <c r="E14" s="6">
        <v>16</v>
      </c>
      <c r="F14" s="7">
        <v>18.899999999999999</v>
      </c>
      <c r="G14" s="13">
        <f t="shared" si="0"/>
        <v>2.8999999999999986</v>
      </c>
      <c r="H14" s="27">
        <f t="shared" si="1"/>
        <v>0.15343915343915338</v>
      </c>
      <c r="I14" s="3"/>
      <c r="J14" s="3"/>
    </row>
    <row r="15" spans="1:10" x14ac:dyDescent="0.35">
      <c r="A15" s="9">
        <f>A10</f>
        <v>1065183749</v>
      </c>
      <c r="B15" s="5">
        <v>2230</v>
      </c>
      <c r="C15" s="5">
        <v>111228</v>
      </c>
      <c r="D15" s="5" t="s">
        <v>47</v>
      </c>
      <c r="E15" s="6">
        <v>15.8</v>
      </c>
      <c r="F15" s="7">
        <v>18.899999999999999</v>
      </c>
      <c r="G15" s="13">
        <f t="shared" si="0"/>
        <v>3.0999999999999979</v>
      </c>
      <c r="H15" s="27">
        <f t="shared" si="1"/>
        <v>0.16402116402116393</v>
      </c>
      <c r="I15" s="3"/>
      <c r="J15" s="3"/>
    </row>
    <row r="16" spans="1:10" x14ac:dyDescent="0.35">
      <c r="A16" s="9">
        <f>A8</f>
        <v>1092846371</v>
      </c>
      <c r="B16" s="5">
        <v>3234</v>
      </c>
      <c r="C16" s="5">
        <v>111229</v>
      </c>
      <c r="D16" s="5" t="s">
        <v>38</v>
      </c>
      <c r="E16" s="6">
        <v>10</v>
      </c>
      <c r="F16" s="7">
        <v>10</v>
      </c>
      <c r="G16" s="13">
        <f t="shared" si="0"/>
        <v>0</v>
      </c>
      <c r="H16" s="27">
        <f t="shared" si="1"/>
        <v>0</v>
      </c>
      <c r="I16" s="3"/>
      <c r="J16" s="3"/>
    </row>
    <row r="17" spans="1:10" x14ac:dyDescent="0.35">
      <c r="A17" s="9">
        <f>A5</f>
        <v>1073946258</v>
      </c>
      <c r="B17" s="5">
        <v>3235</v>
      </c>
      <c r="C17" s="5">
        <v>111220</v>
      </c>
      <c r="D17" s="5" t="s">
        <v>38</v>
      </c>
      <c r="E17" s="6">
        <v>8.9</v>
      </c>
      <c r="F17" s="7">
        <v>10</v>
      </c>
      <c r="G17" s="13">
        <f t="shared" si="0"/>
        <v>1.0999999999999996</v>
      </c>
      <c r="H17" s="27">
        <f t="shared" si="1"/>
        <v>0.10999999999999996</v>
      </c>
      <c r="I17" s="3"/>
      <c r="J17" s="3"/>
    </row>
    <row r="18" spans="1:10" ht="14.25" customHeight="1" x14ac:dyDescent="0.35">
      <c r="A18" s="9">
        <f>A5</f>
        <v>1073946258</v>
      </c>
      <c r="B18" s="5">
        <v>3236</v>
      </c>
      <c r="C18" s="5">
        <v>112323</v>
      </c>
      <c r="D18" s="5" t="s">
        <v>40</v>
      </c>
      <c r="E18" s="6">
        <v>25.9</v>
      </c>
      <c r="F18" s="7">
        <v>26.9</v>
      </c>
      <c r="G18" s="13">
        <f t="shared" si="0"/>
        <v>1</v>
      </c>
      <c r="H18" s="27">
        <f t="shared" si="1"/>
        <v>3.717472118959108E-2</v>
      </c>
      <c r="I18" s="3"/>
      <c r="J18" s="3"/>
    </row>
    <row r="19" spans="1:10" ht="13.5" customHeight="1" x14ac:dyDescent="0.35">
      <c r="A19" s="9">
        <f>A6</f>
        <v>1028467153</v>
      </c>
      <c r="B19" s="5">
        <v>3237</v>
      </c>
      <c r="C19" s="5">
        <v>112324</v>
      </c>
      <c r="D19" s="5" t="s">
        <v>40</v>
      </c>
      <c r="E19" s="6">
        <v>26.9</v>
      </c>
      <c r="F19" s="7">
        <v>26.9</v>
      </c>
      <c r="G19" s="13">
        <f>F19-E19</f>
        <v>0</v>
      </c>
      <c r="H19" s="27">
        <f t="shared" si="1"/>
        <v>0</v>
      </c>
      <c r="I19" s="3"/>
      <c r="J19" s="3"/>
    </row>
    <row r="20" spans="1:10" ht="14.25" customHeight="1" x14ac:dyDescent="0.35">
      <c r="A20" s="9">
        <f>A3</f>
        <v>1037592846</v>
      </c>
      <c r="B20" s="5">
        <v>3238</v>
      </c>
      <c r="C20" s="5">
        <v>112325</v>
      </c>
      <c r="D20" s="5" t="s">
        <v>48</v>
      </c>
      <c r="E20" s="6">
        <v>2.5</v>
      </c>
      <c r="F20" s="7">
        <v>6</v>
      </c>
      <c r="G20" s="13">
        <f t="shared" si="0"/>
        <v>3.5</v>
      </c>
      <c r="H20" s="27">
        <f t="shared" si="1"/>
        <v>0.58333333333333337</v>
      </c>
    </row>
    <row r="21" spans="1:10" ht="13.5" customHeight="1" x14ac:dyDescent="0.35">
      <c r="A21" s="9">
        <f>A2</f>
        <v>1004827315</v>
      </c>
      <c r="B21" s="5">
        <v>3239</v>
      </c>
      <c r="C21" s="5">
        <v>112326</v>
      </c>
      <c r="D21" s="5" t="s">
        <v>48</v>
      </c>
      <c r="E21" s="6">
        <v>2.5</v>
      </c>
      <c r="F21" s="7">
        <v>6</v>
      </c>
      <c r="G21" s="13">
        <f t="shared" si="0"/>
        <v>3.5</v>
      </c>
      <c r="H21" s="27">
        <f t="shared" si="1"/>
        <v>0.58333333333333337</v>
      </c>
    </row>
    <row r="22" spans="1:10" ht="13.5" customHeight="1" x14ac:dyDescent="0.35">
      <c r="A22" s="17"/>
      <c r="B22" s="18"/>
      <c r="C22" s="18"/>
      <c r="D22" s="18"/>
      <c r="E22" s="19"/>
      <c r="F22" s="20"/>
      <c r="G22" s="20"/>
      <c r="H22" s="21"/>
    </row>
    <row r="23" spans="1:10" s="14" customFormat="1" x14ac:dyDescent="0.35">
      <c r="A23" s="15"/>
      <c r="B23" s="15"/>
      <c r="C23" s="15"/>
      <c r="D23" s="15"/>
      <c r="E23" s="15"/>
      <c r="F23" s="15"/>
      <c r="G23" s="15"/>
      <c r="H23" s="21"/>
    </row>
    <row r="24" spans="1:10" x14ac:dyDescent="0.35">
      <c r="B24" s="1" t="s">
        <v>1</v>
      </c>
      <c r="C24" s="1" t="s">
        <v>2</v>
      </c>
      <c r="D24" s="36"/>
      <c r="H24" s="22"/>
    </row>
    <row r="25" spans="1:10" x14ac:dyDescent="0.35">
      <c r="A25" s="4" t="s">
        <v>49</v>
      </c>
      <c r="B25" t="b">
        <f>COUNTIF(A2:A21,A2:A21)&gt;1</f>
        <v>0</v>
      </c>
      <c r="C25" t="b">
        <f>COUNTIF(B2:B21,B2:B21)&gt;1</f>
        <v>0</v>
      </c>
      <c r="D25" s="37"/>
    </row>
    <row r="26" spans="1:10" x14ac:dyDescent="0.35">
      <c r="B26" s="11" t="s">
        <v>0</v>
      </c>
      <c r="C26" s="1" t="s">
        <v>1</v>
      </c>
      <c r="D26" s="1" t="s">
        <v>2</v>
      </c>
      <c r="E26" s="1" t="s">
        <v>3</v>
      </c>
      <c r="F26" s="2" t="s">
        <v>4</v>
      </c>
      <c r="G26" s="2" t="s">
        <v>5</v>
      </c>
      <c r="H26" s="24" t="s">
        <v>6</v>
      </c>
    </row>
    <row r="27" spans="1:10" x14ac:dyDescent="0.35">
      <c r="A27" s="4" t="s">
        <v>50</v>
      </c>
      <c r="B27" s="4">
        <f>COUNTBLANK(B2:B21)</f>
        <v>0</v>
      </c>
      <c r="C27" s="4">
        <f t="shared" ref="C27:H27" si="2">COUNTBLANK(B1:B21)</f>
        <v>0</v>
      </c>
      <c r="D27" s="4">
        <f t="shared" si="2"/>
        <v>0</v>
      </c>
      <c r="E27" s="4">
        <f t="shared" si="2"/>
        <v>0</v>
      </c>
      <c r="F27" s="4">
        <f t="shared" si="2"/>
        <v>0</v>
      </c>
      <c r="G27" s="4">
        <f t="shared" si="2"/>
        <v>0</v>
      </c>
      <c r="H27" s="25">
        <f t="shared" si="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41C86-8A02-423C-B246-5D8A6B4D38C0}">
  <dimension ref="A1:K10"/>
  <sheetViews>
    <sheetView zoomScale="70" zoomScaleNormal="70" workbookViewId="0">
      <selection activeCell="B11" sqref="B11"/>
    </sheetView>
  </sheetViews>
  <sheetFormatPr baseColWidth="10" defaultColWidth="11.453125" defaultRowHeight="14.5" x14ac:dyDescent="0.35"/>
  <cols>
    <col min="1" max="1" width="13.7265625" style="28" customWidth="1"/>
    <col min="2" max="2" width="22.453125" style="28" customWidth="1"/>
    <col min="3" max="3" width="11.453125" style="28"/>
    <col min="4" max="4" width="12.81640625" style="28" customWidth="1"/>
    <col min="5" max="6" width="11.453125" style="28"/>
    <col min="7" max="7" width="13.453125" style="28" customWidth="1"/>
    <col min="8" max="8" width="13" style="28" customWidth="1"/>
    <col min="9" max="16384" width="11.453125" style="28"/>
  </cols>
  <sheetData>
    <row r="1" spans="1:11" x14ac:dyDescent="0.35">
      <c r="A1" s="46" t="s">
        <v>60</v>
      </c>
      <c r="B1" s="46"/>
      <c r="D1" s="46" t="s">
        <v>61</v>
      </c>
      <c r="E1" s="46"/>
      <c r="G1" s="46" t="s">
        <v>63</v>
      </c>
      <c r="H1" s="46"/>
      <c r="J1" s="46" t="s">
        <v>65</v>
      </c>
      <c r="K1" s="46"/>
    </row>
    <row r="2" spans="1:11" x14ac:dyDescent="0.35">
      <c r="A2" s="29" t="s">
        <v>51</v>
      </c>
      <c r="B2" s="30" t="s">
        <v>52</v>
      </c>
      <c r="D2" s="29" t="s">
        <v>51</v>
      </c>
      <c r="E2" s="30" t="s">
        <v>52</v>
      </c>
      <c r="G2" s="29" t="s">
        <v>51</v>
      </c>
      <c r="H2" s="30" t="s">
        <v>52</v>
      </c>
      <c r="J2" s="29" t="s">
        <v>51</v>
      </c>
      <c r="K2" s="30" t="s">
        <v>52</v>
      </c>
    </row>
    <row r="3" spans="1:11" x14ac:dyDescent="0.35">
      <c r="A3" s="31" t="s">
        <v>53</v>
      </c>
      <c r="B3" s="32">
        <f>COUNT(LIMPIEZA!E2:E21)</f>
        <v>20</v>
      </c>
      <c r="D3" s="31" t="s">
        <v>53</v>
      </c>
      <c r="E3" s="32">
        <f>COUNT(LIMPIEZA!F2:F21)</f>
        <v>20</v>
      </c>
      <c r="G3" s="31" t="s">
        <v>53</v>
      </c>
      <c r="H3" s="32">
        <f>COUNT(LIMPIEZA!G2:G21)</f>
        <v>20</v>
      </c>
      <c r="J3" s="31" t="s">
        <v>53</v>
      </c>
      <c r="K3" s="32">
        <f>COUNT(LIMPIEZA!H2:H21)</f>
        <v>20</v>
      </c>
    </row>
    <row r="4" spans="1:11" x14ac:dyDescent="0.35">
      <c r="A4" s="31" t="s">
        <v>54</v>
      </c>
      <c r="B4" s="33">
        <f>AVERAGE(LIMPIEZA!E2:E21)</f>
        <v>9.8350000000000009</v>
      </c>
      <c r="D4" s="31" t="s">
        <v>54</v>
      </c>
      <c r="E4" s="33">
        <f>AVERAGE(LIMPIEZA!F2:F21)</f>
        <v>11.525000000000002</v>
      </c>
      <c r="G4" s="31" t="s">
        <v>54</v>
      </c>
      <c r="H4" s="33">
        <f>AVERAGE(LIMPIEZA!G2:G21)</f>
        <v>1.69</v>
      </c>
      <c r="J4" s="31" t="s">
        <v>54</v>
      </c>
      <c r="K4" s="34">
        <f>AVERAGE(LIMPIEZA!H2:H21)</f>
        <v>0.20305041452764497</v>
      </c>
    </row>
    <row r="5" spans="1:11" x14ac:dyDescent="0.35">
      <c r="A5" s="31" t="s">
        <v>55</v>
      </c>
      <c r="B5" s="33">
        <f>MEDIAN(LIMPIEZA!E2:E21)</f>
        <v>5.75</v>
      </c>
      <c r="D5" s="31" t="s">
        <v>55</v>
      </c>
      <c r="E5" s="33">
        <f>MEDIAN(LIMPIEZA!F2:F21)</f>
        <v>8</v>
      </c>
      <c r="G5" s="31" t="s">
        <v>55</v>
      </c>
      <c r="H5" s="33">
        <f>MEDIAN(LIMPIEZA!G2:G21)</f>
        <v>2</v>
      </c>
      <c r="J5" s="31" t="s">
        <v>55</v>
      </c>
      <c r="K5" s="34">
        <f>MEDIAN(LIMPIEZA!H2:H21)</f>
        <v>0.13171957671957668</v>
      </c>
    </row>
    <row r="6" spans="1:11" x14ac:dyDescent="0.35">
      <c r="A6" s="31" t="s">
        <v>56</v>
      </c>
      <c r="B6" s="33">
        <f>MIN(LIMPIEZA!E2:E21)</f>
        <v>2.5</v>
      </c>
      <c r="D6" s="31" t="s">
        <v>56</v>
      </c>
      <c r="E6" s="33">
        <f>MIN(LIMPIEZA!F2:F21)</f>
        <v>5.5</v>
      </c>
      <c r="G6" s="31" t="s">
        <v>56</v>
      </c>
      <c r="H6" s="33">
        <f>MIN(LIMPIEZA!G2:G21)</f>
        <v>0</v>
      </c>
      <c r="J6" s="31" t="s">
        <v>56</v>
      </c>
      <c r="K6" s="34">
        <f>MIN(LIMPIEZA!H2:H21)</f>
        <v>0</v>
      </c>
    </row>
    <row r="7" spans="1:11" x14ac:dyDescent="0.35">
      <c r="A7" s="31" t="s">
        <v>57</v>
      </c>
      <c r="B7" s="33">
        <f>MAX(LIMPIEZA!E2:E21)</f>
        <v>26.9</v>
      </c>
      <c r="D7" s="31" t="s">
        <v>57</v>
      </c>
      <c r="E7" s="33">
        <f>MAX(LIMPIEZA!F2:F21)</f>
        <v>26.9</v>
      </c>
      <c r="G7" s="31" t="s">
        <v>57</v>
      </c>
      <c r="H7" s="33">
        <f>MAX(LIMPIEZA!G2:G21)</f>
        <v>4</v>
      </c>
      <c r="J7" s="31" t="s">
        <v>57</v>
      </c>
      <c r="K7" s="34">
        <f>MAX(LIMPIEZA!H2:H21)</f>
        <v>0.58333333333333337</v>
      </c>
    </row>
    <row r="8" spans="1:11" ht="29" x14ac:dyDescent="0.35">
      <c r="A8" s="31" t="s">
        <v>58</v>
      </c>
      <c r="B8" s="32">
        <f>_xlfn.STDEV.S(LIMPIEZA!E2:E21)</f>
        <v>7.9300411494253247</v>
      </c>
      <c r="D8" s="31" t="s">
        <v>58</v>
      </c>
      <c r="E8" s="32">
        <f>_xlfn.STDEV.S(LIMPIEZA!F2:F21)</f>
        <v>7.6372959529982944</v>
      </c>
      <c r="G8" s="31" t="s">
        <v>58</v>
      </c>
      <c r="H8" s="32">
        <f>_xlfn.STDEV.S(LIMPIEZA!G2:G21)</f>
        <v>1.4671490434817698</v>
      </c>
      <c r="J8" s="31" t="s">
        <v>58</v>
      </c>
      <c r="K8" s="32">
        <f>_xlfn.STDEV.S(LIMPIEZA!H2:H21)</f>
        <v>0.22001789671925545</v>
      </c>
    </row>
    <row r="9" spans="1:11" x14ac:dyDescent="0.35">
      <c r="A9" s="31" t="s">
        <v>59</v>
      </c>
      <c r="B9" s="32">
        <f>_xlfn.VAR.S(LIMPIEZA!E2:E21)</f>
        <v>62.885552631578918</v>
      </c>
      <c r="D9" s="31" t="s">
        <v>59</v>
      </c>
      <c r="E9" s="32">
        <f>_xlfn.VAR.S(LIMPIEZA!F2:F21)</f>
        <v>58.328289473684123</v>
      </c>
      <c r="G9" s="31" t="s">
        <v>59</v>
      </c>
      <c r="H9" s="32">
        <f>_xlfn.VAR.S(LIMPIEZA!G2:G21)</f>
        <v>2.1525263157894723</v>
      </c>
      <c r="J9" s="31" t="s">
        <v>59</v>
      </c>
      <c r="K9" s="32">
        <f>_xlfn.VAR.S(LIMPIEZA!H2:H21)</f>
        <v>4.8407874876764956E-2</v>
      </c>
    </row>
    <row r="10" spans="1:11" x14ac:dyDescent="0.35">
      <c r="A10" s="31" t="s">
        <v>8</v>
      </c>
      <c r="B10" s="35" t="str">
        <f>INDEX(LIMPIEZA!D2:D21,_xlfn.MODE.SNGL(MATCH(LIMPIEZA!D2:D21,LIMPIEZA!D2:D21,0)))</f>
        <v>Eyes combo(paquete 2)</v>
      </c>
    </row>
  </sheetData>
  <mergeCells count="4">
    <mergeCell ref="A1:B1"/>
    <mergeCell ref="D1:E1"/>
    <mergeCell ref="G1:H1"/>
    <mergeCell ref="J1:K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971D9-FDE4-43E5-B87C-3BB37E1C569A}">
  <dimension ref="A2:L37"/>
  <sheetViews>
    <sheetView tabSelected="1" workbookViewId="0">
      <selection activeCell="E30" sqref="E30"/>
    </sheetView>
  </sheetViews>
  <sheetFormatPr baseColWidth="10" defaultRowHeight="14.5" x14ac:dyDescent="0.35"/>
  <cols>
    <col min="1" max="1" width="28.26953125" customWidth="1"/>
    <col min="2" max="2" width="30.6328125" customWidth="1"/>
    <col min="3" max="3" width="17.54296875" customWidth="1"/>
  </cols>
  <sheetData>
    <row r="2" spans="1:12" x14ac:dyDescent="0.35">
      <c r="A2" s="41" t="s">
        <v>13</v>
      </c>
      <c r="B2" s="41" t="s">
        <v>64</v>
      </c>
      <c r="J2" s="37"/>
      <c r="K2" s="37"/>
      <c r="L2" s="37"/>
    </row>
    <row r="3" spans="1:12" ht="16" customHeight="1" x14ac:dyDescent="0.35">
      <c r="A3" s="5" t="s">
        <v>38</v>
      </c>
      <c r="B3" s="39">
        <f>AVERAGE(LIMPIEZA!E2,LIMPIEZA!E16,LIMPIEZA!E17,LIMPIEZA!E11)</f>
        <v>9.7249999999999996</v>
      </c>
      <c r="J3" s="37"/>
      <c r="K3" s="37"/>
      <c r="L3" s="37"/>
    </row>
    <row r="4" spans="1:12" x14ac:dyDescent="0.35">
      <c r="A4" s="5" t="s">
        <v>39</v>
      </c>
      <c r="B4" s="39">
        <f>AVERAGE(LIMPIEZA!E3,LIMPIEZA!D4)</f>
        <v>5.5</v>
      </c>
      <c r="J4" s="37"/>
      <c r="K4" s="37"/>
      <c r="L4" s="37"/>
    </row>
    <row r="5" spans="1:12" ht="17.5" customHeight="1" x14ac:dyDescent="0.35">
      <c r="A5" s="5" t="s">
        <v>40</v>
      </c>
      <c r="B5" s="39">
        <f>AVERAGE(LIMPIEZA!E18,LIMPIEZA!E19,LIMPIEZA!E5)</f>
        <v>25.899999999999995</v>
      </c>
      <c r="J5" s="37"/>
      <c r="K5" s="37"/>
      <c r="L5" s="37"/>
    </row>
    <row r="6" spans="1:12" x14ac:dyDescent="0.35">
      <c r="A6" s="5" t="s">
        <v>41</v>
      </c>
      <c r="B6" s="40">
        <f>AVERAGE(LIMPIEZA!E6)</f>
        <v>5</v>
      </c>
      <c r="J6" s="37"/>
      <c r="K6" s="37"/>
      <c r="L6" s="37"/>
    </row>
    <row r="7" spans="1:12" x14ac:dyDescent="0.35">
      <c r="A7" s="5" t="s">
        <v>42</v>
      </c>
      <c r="B7" s="40">
        <f>AVERAGE(LIMPIEZA!E7)</f>
        <v>5</v>
      </c>
      <c r="J7" s="37"/>
      <c r="K7" s="37"/>
      <c r="L7" s="37"/>
    </row>
    <row r="8" spans="1:12" x14ac:dyDescent="0.35">
      <c r="A8" s="5" t="s">
        <v>43</v>
      </c>
      <c r="B8" s="40">
        <f>AVERAGE(LIMPIEZA!E8,LIMPIEZA!E9)</f>
        <v>5.15</v>
      </c>
      <c r="J8" s="37"/>
      <c r="K8" s="37"/>
      <c r="L8" s="37"/>
    </row>
    <row r="9" spans="1:12" x14ac:dyDescent="0.35">
      <c r="A9" s="5" t="s">
        <v>44</v>
      </c>
      <c r="B9" s="40">
        <f>AVERAGE(LIMPIEZA!E10)</f>
        <v>6</v>
      </c>
      <c r="J9" s="37"/>
      <c r="K9" s="37"/>
      <c r="L9" s="37"/>
    </row>
    <row r="10" spans="1:12" x14ac:dyDescent="0.35">
      <c r="A10" s="5" t="s">
        <v>45</v>
      </c>
      <c r="B10" s="40">
        <f>AVERAGE(LIMPIEZA!E12)</f>
        <v>3</v>
      </c>
      <c r="J10" s="37"/>
      <c r="K10" s="37"/>
      <c r="L10" s="37"/>
    </row>
    <row r="11" spans="1:12" x14ac:dyDescent="0.35">
      <c r="A11" s="5" t="s">
        <v>47</v>
      </c>
      <c r="B11" s="40">
        <f>AVERAGE(LIMPIEZA!E14,LIMPIEZA!E15)</f>
        <v>15.9</v>
      </c>
      <c r="J11" s="37"/>
      <c r="K11" s="37"/>
      <c r="L11" s="37"/>
    </row>
    <row r="12" spans="1:12" x14ac:dyDescent="0.35">
      <c r="A12" s="5" t="s">
        <v>48</v>
      </c>
      <c r="B12" s="40">
        <f>AVERAGE(LIMPIEZA!E20,LIMPIEZA!E21)</f>
        <v>2.5</v>
      </c>
      <c r="J12" s="37"/>
      <c r="K12" s="37"/>
      <c r="L12" s="37"/>
    </row>
    <row r="14" spans="1:12" x14ac:dyDescent="0.35">
      <c r="A14" s="41" t="s">
        <v>66</v>
      </c>
      <c r="B14" s="41" t="s">
        <v>67</v>
      </c>
    </row>
    <row r="15" spans="1:12" x14ac:dyDescent="0.35">
      <c r="A15" s="44" t="s">
        <v>68</v>
      </c>
      <c r="B15" s="42">
        <f>LIMPIEZA!E2+LIMPIEZA!E12+LIMPIEZA!E21</f>
        <v>15.5</v>
      </c>
    </row>
    <row r="16" spans="1:12" x14ac:dyDescent="0.35">
      <c r="A16" s="44" t="s">
        <v>69</v>
      </c>
      <c r="B16" s="42">
        <f>LIMPIEZA!E3+LIMPIEZA!E20</f>
        <v>8</v>
      </c>
    </row>
    <row r="17" spans="1:3" x14ac:dyDescent="0.35">
      <c r="A17" s="44" t="s">
        <v>70</v>
      </c>
      <c r="B17" s="42">
        <f>LIMPIEZA!E4</f>
        <v>5.5</v>
      </c>
      <c r="C17" s="25"/>
    </row>
    <row r="18" spans="1:3" x14ac:dyDescent="0.35">
      <c r="A18" s="44" t="s">
        <v>71</v>
      </c>
      <c r="B18" s="43">
        <f>LIMPIEZA!E5+LIMPIEZA!E17+LIMPIEZA!E18</f>
        <v>59.699999999999996</v>
      </c>
    </row>
    <row r="19" spans="1:3" x14ac:dyDescent="0.35">
      <c r="A19" s="44" t="s">
        <v>72</v>
      </c>
      <c r="B19" s="43">
        <f>LIMPIEZA!E6+LIMPIEZA!E19</f>
        <v>31.9</v>
      </c>
    </row>
    <row r="20" spans="1:3" x14ac:dyDescent="0.35">
      <c r="A20" s="44" t="s">
        <v>73</v>
      </c>
      <c r="B20" s="43">
        <f>LIMPIEZA!E7</f>
        <v>5</v>
      </c>
    </row>
    <row r="21" spans="1:3" x14ac:dyDescent="0.35">
      <c r="A21" s="45" t="s">
        <v>74</v>
      </c>
      <c r="B21" s="43">
        <f>LIMPIEZA!E8+LIMPIEZA!E16</f>
        <v>15</v>
      </c>
    </row>
    <row r="22" spans="1:3" x14ac:dyDescent="0.35">
      <c r="A22" s="45" t="s">
        <v>75</v>
      </c>
      <c r="B22" s="43">
        <f>LIMPIEZA!E9+LIMPIEZA!E14</f>
        <v>21.3</v>
      </c>
    </row>
    <row r="23" spans="1:3" x14ac:dyDescent="0.35">
      <c r="A23" s="45" t="s">
        <v>76</v>
      </c>
      <c r="B23" s="43">
        <f>LIMPIEZA!E10+LIMPIEZA!E15</f>
        <v>21.8</v>
      </c>
    </row>
    <row r="24" spans="1:3" x14ac:dyDescent="0.35">
      <c r="A24" s="45" t="s">
        <v>77</v>
      </c>
      <c r="B24" s="43">
        <f>LIMPIEZA!E11+LIMPIEZA!E13</f>
        <v>13</v>
      </c>
    </row>
    <row r="25" spans="1:3" x14ac:dyDescent="0.35">
      <c r="B25" s="38"/>
    </row>
    <row r="26" spans="1:3" ht="22" customHeight="1" x14ac:dyDescent="0.35">
      <c r="A26" s="41" t="s">
        <v>66</v>
      </c>
      <c r="B26" s="41" t="s">
        <v>67</v>
      </c>
      <c r="C26" s="41" t="s">
        <v>78</v>
      </c>
    </row>
    <row r="27" spans="1:3" x14ac:dyDescent="0.35">
      <c r="A27" s="44" t="s">
        <v>68</v>
      </c>
      <c r="B27" s="42">
        <f t="shared" ref="B27:B36" si="0">B15</f>
        <v>15.5</v>
      </c>
      <c r="C27" s="40">
        <f>LIMPIEZA!F2+LIMPIEZA!F12+LIMPIEZA!F21</f>
        <v>22</v>
      </c>
    </row>
    <row r="28" spans="1:3" x14ac:dyDescent="0.35">
      <c r="A28" s="44" t="s">
        <v>69</v>
      </c>
      <c r="B28" s="42">
        <f t="shared" si="0"/>
        <v>8</v>
      </c>
      <c r="C28" s="42">
        <f>LIMPIEZA!F3+LIMPIEZA!F20</f>
        <v>11.5</v>
      </c>
    </row>
    <row r="29" spans="1:3" x14ac:dyDescent="0.35">
      <c r="A29" s="44" t="s">
        <v>70</v>
      </c>
      <c r="B29" s="42">
        <f t="shared" si="0"/>
        <v>5.5</v>
      </c>
      <c r="C29" s="40">
        <f>LIMPIEZA!F4</f>
        <v>5.5</v>
      </c>
    </row>
    <row r="30" spans="1:3" x14ac:dyDescent="0.35">
      <c r="A30" s="44" t="s">
        <v>71</v>
      </c>
      <c r="B30" s="43">
        <f t="shared" si="0"/>
        <v>59.699999999999996</v>
      </c>
      <c r="C30" s="42">
        <f>LIMPIEZA!F5+LIMPIEZA!F17+LIMPIEZA!F18</f>
        <v>63.8</v>
      </c>
    </row>
    <row r="31" spans="1:3" x14ac:dyDescent="0.35">
      <c r="A31" s="44" t="s">
        <v>72</v>
      </c>
      <c r="B31" s="43">
        <f t="shared" si="0"/>
        <v>31.9</v>
      </c>
      <c r="C31" s="40">
        <f>LIMPIEZA!F6+LIMPIEZA!F19</f>
        <v>33.9</v>
      </c>
    </row>
    <row r="32" spans="1:3" x14ac:dyDescent="0.35">
      <c r="A32" s="44" t="s">
        <v>73</v>
      </c>
      <c r="B32" s="43">
        <f t="shared" si="0"/>
        <v>5</v>
      </c>
      <c r="C32" s="42">
        <f>LIMPIEZA!F7</f>
        <v>7</v>
      </c>
    </row>
    <row r="33" spans="1:3" x14ac:dyDescent="0.35">
      <c r="A33" s="45" t="s">
        <v>74</v>
      </c>
      <c r="B33" s="43">
        <f t="shared" si="0"/>
        <v>15</v>
      </c>
      <c r="C33" s="40">
        <f>LIMPIEZA!F8+LIMPIEZA!F16</f>
        <v>18</v>
      </c>
    </row>
    <row r="34" spans="1:3" x14ac:dyDescent="0.35">
      <c r="A34" s="45" t="s">
        <v>75</v>
      </c>
      <c r="B34" s="43">
        <f t="shared" si="0"/>
        <v>21.3</v>
      </c>
      <c r="C34" s="42">
        <f>LIMPIEZA!F9+LIMPIEZA!F14</f>
        <v>26.9</v>
      </c>
    </row>
    <row r="35" spans="1:3" x14ac:dyDescent="0.35">
      <c r="A35" s="45" t="s">
        <v>76</v>
      </c>
      <c r="B35" s="43">
        <f t="shared" si="0"/>
        <v>21.8</v>
      </c>
      <c r="C35" s="40">
        <f>LIMPIEZA!F10+LIMPIEZA!F15</f>
        <v>24.9</v>
      </c>
    </row>
    <row r="36" spans="1:3" x14ac:dyDescent="0.35">
      <c r="A36" s="45" t="s">
        <v>77</v>
      </c>
      <c r="B36" s="43">
        <f t="shared" si="0"/>
        <v>13</v>
      </c>
      <c r="C36" s="42">
        <f>LIMPIEZA!F11+LIMPIEZA!F13</f>
        <v>17</v>
      </c>
    </row>
    <row r="37" spans="1:3" x14ac:dyDescent="0.35">
      <c r="C37" s="38"/>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6A29B-7D5B-40DA-BC5D-58892304A899}">
  <dimension ref="A1:B21"/>
  <sheetViews>
    <sheetView topLeftCell="B4" zoomScale="130" zoomScaleNormal="130" workbookViewId="0">
      <selection activeCell="L8" sqref="L8"/>
    </sheetView>
  </sheetViews>
  <sheetFormatPr baseColWidth="10" defaultRowHeight="14.5" x14ac:dyDescent="0.35"/>
  <cols>
    <col min="2" max="2" width="19" customWidth="1"/>
  </cols>
  <sheetData>
    <row r="1" spans="1:2" x14ac:dyDescent="0.35">
      <c r="A1" s="47" t="s">
        <v>80</v>
      </c>
      <c r="B1" s="47" t="s">
        <v>79</v>
      </c>
    </row>
    <row r="2" spans="1:2" x14ac:dyDescent="0.35">
      <c r="A2" s="7">
        <v>10</v>
      </c>
      <c r="B2" s="6">
        <v>10</v>
      </c>
    </row>
    <row r="3" spans="1:2" x14ac:dyDescent="0.35">
      <c r="A3" s="7">
        <v>5.5</v>
      </c>
      <c r="B3" s="6">
        <v>5.5</v>
      </c>
    </row>
    <row r="4" spans="1:2" x14ac:dyDescent="0.35">
      <c r="A4" s="7">
        <v>5.5</v>
      </c>
      <c r="B4" s="6">
        <v>5.5</v>
      </c>
    </row>
    <row r="5" spans="1:2" x14ac:dyDescent="0.35">
      <c r="A5" s="7">
        <v>26.9</v>
      </c>
      <c r="B5" s="6">
        <v>24.9</v>
      </c>
    </row>
    <row r="6" spans="1:2" x14ac:dyDescent="0.35">
      <c r="A6" s="7">
        <v>7</v>
      </c>
      <c r="B6" s="6">
        <v>5</v>
      </c>
    </row>
    <row r="7" spans="1:2" x14ac:dyDescent="0.35">
      <c r="A7" s="7">
        <v>7</v>
      </c>
      <c r="B7" s="6">
        <v>5</v>
      </c>
    </row>
    <row r="8" spans="1:2" x14ac:dyDescent="0.35">
      <c r="A8" s="7">
        <v>8</v>
      </c>
      <c r="B8" s="6">
        <v>5</v>
      </c>
    </row>
    <row r="9" spans="1:2" x14ac:dyDescent="0.35">
      <c r="A9" s="7">
        <v>8</v>
      </c>
      <c r="B9" s="6">
        <v>5.3</v>
      </c>
    </row>
    <row r="10" spans="1:2" x14ac:dyDescent="0.35">
      <c r="A10" s="7">
        <v>6</v>
      </c>
      <c r="B10" s="6">
        <v>6</v>
      </c>
    </row>
    <row r="11" spans="1:2" x14ac:dyDescent="0.35">
      <c r="A11" s="7">
        <v>10</v>
      </c>
      <c r="B11" s="6">
        <v>10</v>
      </c>
    </row>
    <row r="12" spans="1:2" x14ac:dyDescent="0.35">
      <c r="A12" s="7">
        <v>6</v>
      </c>
      <c r="B12" s="6">
        <v>3</v>
      </c>
    </row>
    <row r="13" spans="1:2" x14ac:dyDescent="0.35">
      <c r="A13" s="7">
        <v>7</v>
      </c>
      <c r="B13" s="6">
        <v>3</v>
      </c>
    </row>
    <row r="14" spans="1:2" x14ac:dyDescent="0.35">
      <c r="A14" s="7">
        <v>18.899999999999999</v>
      </c>
      <c r="B14" s="6">
        <v>16</v>
      </c>
    </row>
    <row r="15" spans="1:2" x14ac:dyDescent="0.35">
      <c r="A15" s="7">
        <v>18.899999999999999</v>
      </c>
      <c r="B15" s="6">
        <v>15.8</v>
      </c>
    </row>
    <row r="16" spans="1:2" x14ac:dyDescent="0.35">
      <c r="A16" s="7">
        <v>10</v>
      </c>
      <c r="B16" s="6">
        <v>10</v>
      </c>
    </row>
    <row r="17" spans="1:2" x14ac:dyDescent="0.35">
      <c r="A17" s="7">
        <v>10</v>
      </c>
      <c r="B17" s="6">
        <v>8.9</v>
      </c>
    </row>
    <row r="18" spans="1:2" x14ac:dyDescent="0.35">
      <c r="A18" s="7">
        <v>26.9</v>
      </c>
      <c r="B18" s="6">
        <v>25.9</v>
      </c>
    </row>
    <row r="19" spans="1:2" x14ac:dyDescent="0.35">
      <c r="A19" s="7">
        <v>26.9</v>
      </c>
      <c r="B19" s="6">
        <v>26.9</v>
      </c>
    </row>
    <row r="20" spans="1:2" x14ac:dyDescent="0.35">
      <c r="A20" s="7">
        <v>6</v>
      </c>
      <c r="B20" s="6">
        <v>2.5</v>
      </c>
    </row>
    <row r="21" spans="1:2" x14ac:dyDescent="0.35">
      <c r="A21" s="7">
        <v>6</v>
      </c>
      <c r="B21" s="6">
        <v>2.5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4E654-E8B6-4E60-B743-DBF5E6705413}">
  <dimension ref="A1:G6"/>
  <sheetViews>
    <sheetView topLeftCell="A2" workbookViewId="0">
      <selection activeCell="K7" sqref="K7"/>
    </sheetView>
  </sheetViews>
  <sheetFormatPr baseColWidth="10" defaultRowHeight="14.5" x14ac:dyDescent="0.35"/>
  <cols>
    <col min="1" max="1" width="21.7265625" customWidth="1"/>
    <col min="6" max="6" width="26.81640625" customWidth="1"/>
  </cols>
  <sheetData>
    <row r="1" spans="1:7" ht="14.5" customHeight="1" x14ac:dyDescent="0.35"/>
    <row r="2" spans="1:7" ht="97" customHeight="1" x14ac:dyDescent="0.35">
      <c r="A2" s="48" t="s">
        <v>81</v>
      </c>
      <c r="B2" s="51" t="s">
        <v>82</v>
      </c>
      <c r="C2" s="51"/>
      <c r="D2" s="51"/>
      <c r="E2" s="51"/>
      <c r="F2" s="51"/>
    </row>
    <row r="3" spans="1:7" x14ac:dyDescent="0.35">
      <c r="B3" s="49"/>
      <c r="C3" s="49"/>
      <c r="D3" s="49"/>
      <c r="E3" s="49"/>
      <c r="F3" s="49"/>
    </row>
    <row r="4" spans="1:7" ht="90" customHeight="1" x14ac:dyDescent="0.35">
      <c r="A4" s="48" t="s">
        <v>83</v>
      </c>
      <c r="B4" s="51" t="s">
        <v>85</v>
      </c>
      <c r="C4" s="51"/>
      <c r="D4" s="51"/>
      <c r="E4" s="51"/>
      <c r="F4" s="51"/>
      <c r="G4" s="50"/>
    </row>
    <row r="5" spans="1:7" x14ac:dyDescent="0.35">
      <c r="B5" s="49"/>
      <c r="C5" s="49"/>
      <c r="D5" s="49"/>
      <c r="E5" s="49"/>
      <c r="F5" s="49"/>
    </row>
    <row r="6" spans="1:7" ht="54.5" customHeight="1" x14ac:dyDescent="0.35">
      <c r="A6" s="48" t="s">
        <v>84</v>
      </c>
      <c r="B6" s="51" t="s">
        <v>86</v>
      </c>
      <c r="C6" s="51"/>
      <c r="D6" s="51"/>
      <c r="E6" s="51"/>
      <c r="F6" s="51"/>
    </row>
  </sheetData>
  <mergeCells count="3">
    <mergeCell ref="B2:F2"/>
    <mergeCell ref="B4:F4"/>
    <mergeCell ref="B6:F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DATOS</vt:lpstr>
      <vt:lpstr>LIMPIEZA</vt:lpstr>
      <vt:lpstr>UNIVARIADO</vt:lpstr>
      <vt:lpstr>BIVARIADO</vt:lpstr>
      <vt:lpstr>CORRELACIÓN</vt:lpstr>
      <vt:lpstr>CONCLUSIONES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smart one</dc:creator>
  <cp:lastModifiedBy>Prestamo Estudiantes</cp:lastModifiedBy>
  <dcterms:created xsi:type="dcterms:W3CDTF">2026-08-10T02:04:03Z</dcterms:created>
  <dcterms:modified xsi:type="dcterms:W3CDTF">2026-08-10T18:32:39Z</dcterms:modified>
</cp:coreProperties>
</file>